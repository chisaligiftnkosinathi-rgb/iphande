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1015" windowHeight="10755" firstSheet="15" activeTab="22"/>
  </bookViews>
  <sheets>
    <sheet name="StewardReviewQueue" sheetId="26" r:id="rId1"/>
    <sheet name="StewardDecisionLog" sheetId="25" r:id="rId2"/>
    <sheet name="StewardAlerts" sheetId="24" r:id="rId3"/>
    <sheet name="StewardConsole" sheetId="23" r:id="rId4"/>
    <sheet name="ReplayLinkResolution" sheetId="22" r:id="rId5"/>
    <sheet name="CMD002SessionOpenRule" sheetId="21" r:id="rId6"/>
    <sheet name="CMD002OutcomeRegistry" sheetId="20" r:id="rId7"/>
    <sheet name="CMD002FailureRegistry" sheetId="19" r:id="rId8"/>
    <sheet name="CMD002AtomicityRule" sheetId="18" r:id="rId9"/>
    <sheet name="DraftReplayEventSchema" sheetId="17" r:id="rId10"/>
    <sheet name="DraftContentPostSchema" sheetId="16" r:id="rId11"/>
    <sheet name="ReplayMutationContract" sheetId="15" r:id="rId12"/>
    <sheet name="DraftMutationBoundary" sheetId="14" r:id="rId13"/>
    <sheet name="CMD002ReadinessChecklist" sheetId="13" r:id="rId14"/>
    <sheet name="ExecutionSessions" sheetId="12" r:id="rId15"/>
    <sheet name="Dashboard" sheetId="1" r:id="rId16"/>
    <sheet name="BusinessTemplates" sheetId="6" r:id="rId17"/>
    <sheet name="BusinessOwners" sheetId="2" r:id="rId18"/>
    <sheet name="ContentPosts" sheetId="3" r:id="rId19"/>
    <sheet name="ReplayEvents" sheetId="4" r:id="rId20"/>
    <sheet name="MacroCommandRegistry" sheetId="11" r:id="rId21"/>
    <sheet name="ExecutionReadiness" sheetId="10" r:id="rId22"/>
    <sheet name="PayloadPreview" sheetId="27" r:id="rId23"/>
    <sheet name="ActionIntents" sheetId="9" r:id="rId24"/>
    <sheet name="AdminActions" sheetId="8" r:id="rId25"/>
    <sheet name="SystemNavigation" sheetId="7" r:id="rId26"/>
    <sheet name="Settings" sheetId="5" r:id="rId27"/>
  </sheets>
  <calcPr calcId="124519"/>
</workbook>
</file>

<file path=xl/calcChain.xml><?xml version="1.0" encoding="utf-8"?>
<calcChain xmlns="http://schemas.openxmlformats.org/spreadsheetml/2006/main">
  <c r="B8" i="27"/>
  <c r="B2"/>
  <c r="B42" i="23"/>
  <c r="B41"/>
  <c r="B40"/>
  <c r="B39"/>
  <c r="B38"/>
  <c r="B37"/>
  <c r="E33"/>
  <c r="E32"/>
  <c r="E31"/>
  <c r="E30"/>
  <c r="B33"/>
  <c r="B32"/>
  <c r="B31"/>
  <c r="B30"/>
  <c r="G27"/>
  <c r="F27"/>
  <c r="E27"/>
  <c r="D27"/>
  <c r="G26"/>
  <c r="F26"/>
  <c r="E26"/>
  <c r="D26"/>
  <c r="G25"/>
  <c r="F25"/>
  <c r="E25"/>
  <c r="D25"/>
  <c r="E22"/>
  <c r="E21"/>
  <c r="B24"/>
  <c r="B22"/>
  <c r="E16"/>
  <c r="E15"/>
  <c r="E14"/>
  <c r="B16"/>
  <c r="B15"/>
  <c r="B9"/>
  <c r="B6"/>
  <c r="B4"/>
  <c r="B64" i="1"/>
  <c r="I3" i="12"/>
  <c r="J3" s="1"/>
  <c r="B23" i="23" s="1"/>
  <c r="B58" i="1"/>
  <c r="B55"/>
  <c r="B62" s="1"/>
  <c r="E7" i="23" s="1"/>
  <c r="B54" i="1"/>
  <c r="B61" s="1"/>
  <c r="E6" i="23" s="1"/>
  <c r="B52" i="1"/>
  <c r="E4" i="23" s="1"/>
  <c r="B49" i="1"/>
  <c r="B13" i="23" s="1"/>
  <c r="B48" i="1"/>
  <c r="B45"/>
  <c r="B21" i="23" s="1"/>
  <c r="B44" i="1"/>
  <c r="B43"/>
  <c r="I2" i="12"/>
  <c r="J2" s="1"/>
  <c r="B40" i="1"/>
  <c r="B56" s="1"/>
  <c r="B35"/>
  <c r="B34"/>
  <c r="B31"/>
  <c r="B30"/>
  <c r="B27"/>
  <c r="B26"/>
  <c r="B23"/>
  <c r="B22"/>
  <c r="B21"/>
  <c r="E13" i="23" s="1"/>
  <c r="B19" i="1"/>
  <c r="B18"/>
  <c r="B17"/>
  <c r="B10"/>
  <c r="B13" s="1"/>
  <c r="B6" i="27" s="1"/>
  <c r="B5" i="1"/>
  <c r="B4"/>
  <c r="B3"/>
  <c r="B11" i="27" l="1"/>
  <c r="B3" s="1"/>
  <c r="B57" i="1"/>
  <c r="B63"/>
  <c r="B5" i="23"/>
  <c r="B46" i="1"/>
  <c r="B53"/>
  <c r="E5" i="23" s="1"/>
  <c r="B37" i="1"/>
  <c r="B7" i="23" s="1"/>
  <c r="B11" i="1"/>
  <c r="B4" i="27" s="1"/>
  <c r="B15" i="1"/>
  <c r="B7" i="27" s="1"/>
  <c r="B14" i="1"/>
  <c r="B10" i="27" s="1"/>
  <c r="B12" i="1"/>
  <c r="B5" i="27" s="1"/>
  <c r="B65" i="1" l="1"/>
  <c r="B14" i="23" s="1"/>
  <c r="B8"/>
</calcChain>
</file>

<file path=xl/sharedStrings.xml><?xml version="1.0" encoding="utf-8"?>
<sst xmlns="http://schemas.openxmlformats.org/spreadsheetml/2006/main" count="658" uniqueCount="457">
  <si>
    <t>OwnerID</t>
  </si>
  <si>
    <t>BusinessName</t>
  </si>
  <si>
    <t>Category</t>
  </si>
  <si>
    <t>Location</t>
  </si>
  <si>
    <t>Phone</t>
  </si>
  <si>
    <t>Platform</t>
  </si>
  <si>
    <t>Caption</t>
  </si>
  <si>
    <t>CreatedAt</t>
  </si>
  <si>
    <t>EventID</t>
  </si>
  <si>
    <t>EventType</t>
  </si>
  <si>
    <t>SettingKey</t>
  </si>
  <si>
    <t>SettingValue</t>
  </si>
  <si>
    <t>WorkbookPurpose</t>
  </si>
  <si>
    <t>Learning and admin automation companion for iPhande</t>
  </si>
  <si>
    <t>BO001</t>
  </si>
  <si>
    <t>Grace Funeral Services</t>
  </si>
  <si>
    <t>Funeral Cover</t>
  </si>
  <si>
    <t>Pretoria</t>
  </si>
  <si>
    <t>ContentPostID</t>
  </si>
  <si>
    <t>BusinessLine</t>
  </si>
  <si>
    <t>GoalKey</t>
  </si>
  <si>
    <t>CallToAction</t>
  </si>
  <si>
    <t>Status</t>
  </si>
  <si>
    <t>ActorType</t>
  </si>
  <si>
    <t>ParentEventID</t>
  </si>
  <si>
    <t>PayloadSummary</t>
  </si>
  <si>
    <t>CP001</t>
  </si>
  <si>
    <t>Funeral Cover Agent</t>
  </si>
  <si>
    <t>Facebook</t>
  </si>
  <si>
    <t>request_quotes</t>
  </si>
  <si>
    <t>Affordable funeral cover options for families.</t>
  </si>
  <si>
    <t>WhatsApp us today</t>
  </si>
  <si>
    <t>draft</t>
  </si>
  <si>
    <t>EV001</t>
  </si>
  <si>
    <t>template_selected</t>
  </si>
  <si>
    <t>system</t>
  </si>
  <si>
    <t>Funeral template selected</t>
  </si>
  <si>
    <t>EV002</t>
  </si>
  <si>
    <t>caption_composed</t>
  </si>
  <si>
    <t>Caption generated for Facebook</t>
  </si>
  <si>
    <t>EV003</t>
  </si>
  <si>
    <t>platform_format_applied</t>
  </si>
  <si>
    <t>Facebook formatting applied</t>
  </si>
  <si>
    <t>EV004</t>
  </si>
  <si>
    <t>content_generated</t>
  </si>
  <si>
    <t>business_owner</t>
  </si>
  <si>
    <t>Final content generated</t>
  </si>
  <si>
    <t>iPhande VBA Admin Control</t>
  </si>
  <si>
    <t>Business Owner</t>
  </si>
  <si>
    <t>Content Post</t>
  </si>
  <si>
    <t>Replay Chain</t>
  </si>
  <si>
    <t>Selected OwnerID</t>
  </si>
  <si>
    <t>Selected ContentPostID</t>
  </si>
  <si>
    <t>TemplateKey</t>
  </si>
  <si>
    <t>DefaultPlatform</t>
  </si>
  <si>
    <t>DefaultGoalKey</t>
  </si>
  <si>
    <t>DefaultTone</t>
  </si>
  <si>
    <t>SampleOfferDetails</t>
  </si>
  <si>
    <t>Active</t>
  </si>
  <si>
    <t>commission_based_sales</t>
  </si>
  <si>
    <t>Sales</t>
  </si>
  <si>
    <t>facebook</t>
  </si>
  <si>
    <t>professional</t>
  </si>
  <si>
    <t>funeral_cover</t>
  </si>
  <si>
    <t>Funeral Services</t>
  </si>
  <si>
    <t>Funeral Cover Consultant</t>
  </si>
  <si>
    <t>caring</t>
  </si>
  <si>
    <t>Helping families prepare with dignity and care.</t>
  </si>
  <si>
    <t>church</t>
  </si>
  <si>
    <t>Church</t>
  </si>
  <si>
    <t>Church Ministry</t>
  </si>
  <si>
    <t>encourage_attendance</t>
  </si>
  <si>
    <t>warm</t>
  </si>
  <si>
    <t>Join us this Sunday for worship and fellowship.</t>
  </si>
  <si>
    <t>real_estate</t>
  </si>
  <si>
    <t>Real Estate</t>
  </si>
  <si>
    <t>Property Agent</t>
  </si>
  <si>
    <t>generate_leads</t>
  </si>
  <si>
    <t>Affordable homes available in Pretoria.</t>
  </si>
  <si>
    <t>retail</t>
  </si>
  <si>
    <t>Retail</t>
  </si>
  <si>
    <t>Clothing Store</t>
  </si>
  <si>
    <t>promote_offer</t>
  </si>
  <si>
    <t>friendly</t>
  </si>
  <si>
    <t>Quality clothing at affordable prices.</t>
  </si>
  <si>
    <t>services</t>
  </si>
  <si>
    <t>Services</t>
  </si>
  <si>
    <t>Cleaning Services</t>
  </si>
  <si>
    <t>request_bookings</t>
  </si>
  <si>
    <t>Reliable cleaning services for homes and offices.</t>
  </si>
  <si>
    <t>BO002</t>
  </si>
  <si>
    <t>Hope Homes Realty</t>
  </si>
  <si>
    <t>Midrand</t>
  </si>
  <si>
    <t>NavKey</t>
  </si>
  <si>
    <t>Label</t>
  </si>
  <si>
    <t>TargetSheet</t>
  </si>
  <si>
    <t>TargetCell</t>
  </si>
  <si>
    <t>Context</t>
  </si>
  <si>
    <t>NAV001</t>
  </si>
  <si>
    <t>Dashboard</t>
  </si>
  <si>
    <t>B2</t>
  </si>
  <si>
    <t>Main Control</t>
  </si>
  <si>
    <t>NAV002</t>
  </si>
  <si>
    <t>Owners</t>
  </si>
  <si>
    <t>BusinessOwners</t>
  </si>
  <si>
    <t>A1</t>
  </si>
  <si>
    <t>Owner Registry</t>
  </si>
  <si>
    <t>NAV003</t>
  </si>
  <si>
    <t>Templates</t>
  </si>
  <si>
    <t>BusinessTemplates</t>
  </si>
  <si>
    <t>Template Registry</t>
  </si>
  <si>
    <t>NAV004</t>
  </si>
  <si>
    <t>Posts</t>
  </si>
  <si>
    <t>ContentPosts</t>
  </si>
  <si>
    <t>Generated Content</t>
  </si>
  <si>
    <t>NAV005</t>
  </si>
  <si>
    <t>Replay</t>
  </si>
  <si>
    <t>ReplayEvents</t>
  </si>
  <si>
    <t>Replay Timeline</t>
  </si>
  <si>
    <t>SelectedNavigationKey</t>
  </si>
  <si>
    <t>NavigationTargetSheet</t>
  </si>
  <si>
    <t>NavigationTargetCell</t>
  </si>
  <si>
    <t>NavigationContext</t>
  </si>
  <si>
    <t>ActionID</t>
  </si>
  <si>
    <t>ActionTimestamp</t>
  </si>
  <si>
    <t>Actor</t>
  </si>
  <si>
    <t>ActionType</t>
  </si>
  <si>
    <t>SourceSheet</t>
  </si>
  <si>
    <t>RelatedOwnerID</t>
  </si>
  <si>
    <t>RelatedContentPostID</t>
  </si>
  <si>
    <t>RelatedReplayEventID</t>
  </si>
  <si>
    <t>ActionNote</t>
  </si>
  <si>
    <t>ACT001</t>
  </si>
  <si>
    <t>Steward</t>
  </si>
  <si>
    <t>navigation_verified</t>
  </si>
  <si>
    <t>Verified NAV003 resolves correctly</t>
  </si>
  <si>
    <t>LatestActionID</t>
  </si>
  <si>
    <t>LatestActionType</t>
  </si>
  <si>
    <t>LatestActionNote</t>
  </si>
  <si>
    <t>IntentID</t>
  </si>
  <si>
    <t>IntentType</t>
  </si>
  <si>
    <t>SourceContext</t>
  </si>
  <si>
    <t>TargetContext</t>
  </si>
  <si>
    <t>RequiresOwnerID</t>
  </si>
  <si>
    <t>RequiresReplayReference</t>
  </si>
  <si>
    <t>INT001</t>
  </si>
  <si>
    <t>open_navigation</t>
  </si>
  <si>
    <t>approved</t>
  </si>
  <si>
    <t>INT002</t>
  </si>
  <si>
    <t>create_content_post</t>
  </si>
  <si>
    <t>planned</t>
  </si>
  <si>
    <t>SelectedIntentID</t>
  </si>
  <si>
    <t>IntentStatus</t>
  </si>
  <si>
    <t>ReadinessID</t>
  </si>
  <si>
    <t>OwnerRequiredSatisfied</t>
  </si>
  <si>
    <t>ReplayRequiredSatisfied</t>
  </si>
  <si>
    <t>NavigationResolved</t>
  </si>
  <si>
    <t>BlockReason</t>
  </si>
  <si>
    <t>RDY001</t>
  </si>
  <si>
    <t>ready</t>
  </si>
  <si>
    <t>RDY002</t>
  </si>
  <si>
    <t>blocked</t>
  </si>
  <si>
    <t>SelectedReadinessID</t>
  </si>
  <si>
    <t>ReadinessStatus</t>
  </si>
  <si>
    <t>CommandID</t>
  </si>
  <si>
    <t>CommandName</t>
  </si>
  <si>
    <t>LinkedIntentID</t>
  </si>
  <si>
    <t>RequiresReadinessStatus</t>
  </si>
  <si>
    <t>AllowedTargetSheet</t>
  </si>
  <si>
    <t>CommandStatus</t>
  </si>
  <si>
    <t>Notes</t>
  </si>
  <si>
    <t>CMD001</t>
  </si>
  <si>
    <t>GoToResolvedNavigation</t>
  </si>
  <si>
    <t>any</t>
  </si>
  <si>
    <t>Opens the resolved navigation target only when readiness is ready</t>
  </si>
  <si>
    <t>CMD002</t>
  </si>
  <si>
    <t>CreateContentPostDraft</t>
  </si>
  <si>
    <t>Must not run until owner and replay reference are satisfied</t>
  </si>
  <si>
    <t>SelectedCommandID</t>
  </si>
  <si>
    <t>CanExecuteCommand</t>
  </si>
  <si>
    <t>ACT002</t>
  </si>
  <si>
    <t>navigation_executed</t>
  </si>
  <si>
    <t>Executed CMD001 navigation to Dashboard!B2</t>
  </si>
  <si>
    <t>ParentActionID</t>
  </si>
  <si>
    <t>ExecutionSessionID</t>
  </si>
  <si>
    <t>SES001</t>
  </si>
  <si>
    <t>StartedAt</t>
  </si>
  <si>
    <t>StartedBy</t>
  </si>
  <si>
    <t>SessionPurpose</t>
  </si>
  <si>
    <t>SessionStatus</t>
  </si>
  <si>
    <t>ClosedAt</t>
  </si>
  <si>
    <t>ClosureNote</t>
  </si>
  <si>
    <t>First governed navigation execution</t>
  </si>
  <si>
    <t>CurrentExecutionSessionID</t>
  </si>
  <si>
    <t>ExpectedActionCount</t>
  </si>
  <si>
    <t>ActualActionCount</t>
  </si>
  <si>
    <t>CanCloseSession</t>
  </si>
  <si>
    <t>closed</t>
  </si>
  <si>
    <t>First governed navigation execution completed and logged</t>
  </si>
  <si>
    <t>CheckID</t>
  </si>
  <si>
    <t>Requirement</t>
  </si>
  <si>
    <t>SourceCellOrTable</t>
  </si>
  <si>
    <t>CHK001</t>
  </si>
  <si>
    <t>Selected OwnerID is present</t>
  </si>
  <si>
    <t>Dashboard!B7</t>
  </si>
  <si>
    <t>CHK002</t>
  </si>
  <si>
    <t>Selected TemplateKey resolves from OwnerID</t>
  </si>
  <si>
    <t>Dashboard!B10</t>
  </si>
  <si>
    <t>CHK003</t>
  </si>
  <si>
    <t>Draft ContentPostID can be reserved</t>
  </si>
  <si>
    <t>ContentPosts!A:A</t>
  </si>
  <si>
    <t>CHK004</t>
  </si>
  <si>
    <t>ParentEventID or replay reference exists</t>
  </si>
  <si>
    <t>ReplayEvents!A:A / AdminActions!A:A</t>
  </si>
  <si>
    <t>CHK005</t>
  </si>
  <si>
    <t>ExecutionSessionID is open</t>
  </si>
  <si>
    <t>Dashboard!B39 / ExecutionSessions</t>
  </si>
  <si>
    <t>CHK006</t>
  </si>
  <si>
    <t>CanExecuteCommand = TRUE</t>
  </si>
  <si>
    <t>Dashboard!B37</t>
  </si>
  <si>
    <t>CHK007</t>
  </si>
  <si>
    <t>AdminActions can log both success and refusal</t>
  </si>
  <si>
    <t>AdminActions</t>
  </si>
  <si>
    <t>CHK008</t>
  </si>
  <si>
    <t>Business data mutation is limited to draft creation only</t>
  </si>
  <si>
    <t>CMD002 Readiness Overview</t>
  </si>
  <si>
    <t>Total CMD002 Checks</t>
  </si>
  <si>
    <t>Completed Checks</t>
  </si>
  <si>
    <t>Blocked Checks</t>
  </si>
  <si>
    <t>CMD002 Ready</t>
  </si>
  <si>
    <t>BoundaryID</t>
  </si>
  <si>
    <t>AllowedMutation</t>
  </si>
  <si>
    <t>TargetTable</t>
  </si>
  <si>
    <t>MutationScope</t>
  </si>
  <si>
    <t>ReplayRequired</t>
  </si>
  <si>
    <t>OwnerRequired</t>
  </si>
  <si>
    <t>BND001</t>
  </si>
  <si>
    <t>create_draft_content_post</t>
  </si>
  <si>
    <t>insert_only</t>
  </si>
  <si>
    <t>SelectedBoundaryID</t>
  </si>
  <si>
    <t>MutationStatus</t>
  </si>
  <si>
    <t>ContractID</t>
  </si>
  <si>
    <t>MutationBoundaryID</t>
  </si>
  <si>
    <t>RequiredReplayEventType</t>
  </si>
  <si>
    <t>ReplayGenerationMode</t>
  </si>
  <si>
    <t>ReplayStatus</t>
  </si>
  <si>
    <t>RPC001</t>
  </si>
  <si>
    <t>content_post_draft_created</t>
  </si>
  <si>
    <t>append_only</t>
  </si>
  <si>
    <t>CMD002 must create replay continuity immediately after draft insertion</t>
  </si>
  <si>
    <t>FieldName</t>
  </si>
  <si>
    <t>Required</t>
  </si>
  <si>
    <t>Source</t>
  </si>
  <si>
    <t>MutationMode</t>
  </si>
  <si>
    <t>ReplayLinked</t>
  </si>
  <si>
    <t>generated</t>
  </si>
  <si>
    <t>Dashboard selected owner</t>
  </si>
  <si>
    <t>inherited from owner</t>
  </si>
  <si>
    <t>PostStatus</t>
  </si>
  <si>
    <t>default=draft</t>
  </si>
  <si>
    <t>replay continuity</t>
  </si>
  <si>
    <t>ReplayField</t>
  </si>
  <si>
    <t>AppendMode</t>
  </si>
  <si>
    <t>LinkedContentField</t>
  </si>
  <si>
    <t>ReplayEventID</t>
  </si>
  <si>
    <t>fixed=content_post_draft_created</t>
  </si>
  <si>
    <t>active session</t>
  </si>
  <si>
    <t>RuleID</t>
  </si>
  <si>
    <t>RequiredContentInsert</t>
  </si>
  <si>
    <t>RequiredReplayAppend</t>
  </si>
  <si>
    <t>FailureBehavior</t>
  </si>
  <si>
    <t>ATM001</t>
  </si>
  <si>
    <t>abort_if_either_side_missing</t>
  </si>
  <si>
    <t>FailureID</t>
  </si>
  <si>
    <t>FailureCondition</t>
  </si>
  <si>
    <t>DetectionSource</t>
  </si>
  <si>
    <t>RequiredBehavior</t>
  </si>
  <si>
    <t>SessionImpact</t>
  </si>
  <si>
    <t>FAIL001</t>
  </si>
  <si>
    <t>Missing OwnerID</t>
  </si>
  <si>
    <t>CMD002ReadinessChecklist</t>
  </si>
  <si>
    <t>refuse_execution</t>
  </si>
  <si>
    <t>keep_session_open</t>
  </si>
  <si>
    <t>FAIL002</t>
  </si>
  <si>
    <t>Replay append failed</t>
  </si>
  <si>
    <t>ReplayMutationContract</t>
  </si>
  <si>
    <t>abort_mutation</t>
  </si>
  <si>
    <t>mark_session_blocked</t>
  </si>
  <si>
    <t>FAIL003</t>
  </si>
  <si>
    <t>Duplicate ContentPostID</t>
  </si>
  <si>
    <t>DraftContentPostSchema</t>
  </si>
  <si>
    <t>refuse_insert</t>
  </si>
  <si>
    <t>log_failure_action</t>
  </si>
  <si>
    <t>OutcomeID</t>
  </si>
  <si>
    <t>OutcomeType</t>
  </si>
  <si>
    <t>RequiresReplay</t>
  </si>
  <si>
    <t>RequiresAdminAction</t>
  </si>
  <si>
    <t>RequiresSessionClosure</t>
  </si>
  <si>
    <t>ResultingSessionState</t>
  </si>
  <si>
    <t>OUT001</t>
  </si>
  <si>
    <t>success</t>
  </si>
  <si>
    <t>OUT002</t>
  </si>
  <si>
    <t>refused_execution</t>
  </si>
  <si>
    <t>open</t>
  </si>
  <si>
    <t>OUT003</t>
  </si>
  <si>
    <t>aborted_atomicity_failure</t>
  </si>
  <si>
    <t>CMD002 Resolved Draft Context</t>
  </si>
  <si>
    <t>ResolvedOwnerID</t>
  </si>
  <si>
    <t>ResolvedTemplateKey</t>
  </si>
  <si>
    <t>ProposedContentPostID</t>
  </si>
  <si>
    <t>ProposedReplayEventID</t>
  </si>
  <si>
    <t>ActiveExecutionSessionID</t>
  </si>
  <si>
    <t>RequiresOpenSession</t>
  </si>
  <si>
    <t>CanCreateNewSession</t>
  </si>
  <si>
    <t>NewSessionPurpose</t>
  </si>
  <si>
    <t>SOR001</t>
  </si>
  <si>
    <t>Draft content post creation with replay continuity</t>
  </si>
  <si>
    <t>CMD002CanStartSession</t>
  </si>
  <si>
    <t>ProposedNewSessionID</t>
  </si>
  <si>
    <t>completed</t>
  </si>
  <si>
    <t>SES002</t>
  </si>
  <si>
    <t>ResolutionID</t>
  </si>
  <si>
    <t>ReplayLinkStatus</t>
  </si>
  <si>
    <t>RLR001</t>
  </si>
  <si>
    <t>CPT002</t>
  </si>
  <si>
    <t>REV005</t>
  </si>
  <si>
    <t>linked_pending_append</t>
  </si>
  <si>
    <t>Replay linkage prepared but not yet appended</t>
  </si>
  <si>
    <t>CMD002 Dry Run Preview</t>
  </si>
  <si>
    <t>WouldCreateContentPostID</t>
  </si>
  <si>
    <t>WouldAppendReplayEventID</t>
  </si>
  <si>
    <t>WouldUseSessionID</t>
  </si>
  <si>
    <t>WouldCreateEventType</t>
  </si>
  <si>
    <t>AtomicityStatus</t>
  </si>
  <si>
    <t>ExecutionMode</t>
  </si>
  <si>
    <t>dry_run_only</t>
  </si>
  <si>
    <t>iPhande Steward Console</t>
  </si>
  <si>
    <t>System Status</t>
  </si>
  <si>
    <t>Current Session</t>
  </si>
  <si>
    <t>Session Status</t>
  </si>
  <si>
    <t>Selected Command</t>
  </si>
  <si>
    <t>Can Execute</t>
  </si>
  <si>
    <t>Dry Run Mode</t>
  </si>
  <si>
    <t>Operational Context</t>
  </si>
  <si>
    <t>Selected Owner</t>
  </si>
  <si>
    <t>Resolved Template</t>
  </si>
  <si>
    <t>Proposed ContentPostID</t>
  </si>
  <si>
    <t>Proposed ReplayEventID</t>
  </si>
  <si>
    <t>Constitutional State</t>
  </si>
  <si>
    <t>Mutation Boundary Status</t>
  </si>
  <si>
    <t>Atomicity Rule Status</t>
  </si>
  <si>
    <t>Replay Contract Status</t>
  </si>
  <si>
    <t>Failure Registry Status</t>
  </si>
  <si>
    <t>Replay Continuity</t>
  </si>
  <si>
    <t>Latest Action</t>
  </si>
  <si>
    <t>Latest Session</t>
  </si>
  <si>
    <t>Last Replay Event</t>
  </si>
  <si>
    <t>Replay Append Mode</t>
  </si>
  <si>
    <t>Execution Safety</t>
  </si>
  <si>
    <t>Open Failures</t>
  </si>
  <si>
    <t>Session Closure State</t>
  </si>
  <si>
    <t>Execution Mode</t>
  </si>
  <si>
    <t>AlertID</t>
  </si>
  <si>
    <t>AlertType</t>
  </si>
  <si>
    <t>Severity</t>
  </si>
  <si>
    <t>Condition</t>
  </si>
  <si>
    <t>CurrentState</t>
  </si>
  <si>
    <t>RecommendedAction</t>
  </si>
  <si>
    <t>ALT001</t>
  </si>
  <si>
    <t>open_execution_session</t>
  </si>
  <si>
    <t>medium</t>
  </si>
  <si>
    <t>Session remains open without execution</t>
  </si>
  <si>
    <t>SES002 open</t>
  </si>
  <si>
    <t>either execute or close session</t>
  </si>
  <si>
    <t>active</t>
  </si>
  <si>
    <t>ALT002</t>
  </si>
  <si>
    <t>dry_run_mode_active</t>
  </si>
  <si>
    <t>low</t>
  </si>
  <si>
    <t>CMD002 not yet implemented</t>
  </si>
  <si>
    <t>implementation still constitutionally blocked</t>
  </si>
  <si>
    <t>ALT003</t>
  </si>
  <si>
    <t>replay_append_missing</t>
  </si>
  <si>
    <t>high</t>
  </si>
  <si>
    <t>No replay append executed yet</t>
  </si>
  <si>
    <t>pending</t>
  </si>
  <si>
    <t>do not allow mutation without replay continuity</t>
  </si>
  <si>
    <t>Steward Alerts</t>
  </si>
  <si>
    <t>Active Alert Count</t>
  </si>
  <si>
    <t>Highest Severity</t>
  </si>
  <si>
    <t>DecisionID</t>
  </si>
  <si>
    <t>DecisionType</t>
  </si>
  <si>
    <t>RelatedAlertID</t>
  </si>
  <si>
    <t>DecisionReason</t>
  </si>
  <si>
    <t>DecidedBy</t>
  </si>
  <si>
    <t>DecisionTimestamp</t>
  </si>
  <si>
    <t>Outcome</t>
  </si>
  <si>
    <t>DEC001</t>
  </si>
  <si>
    <t>defer_execution</t>
  </si>
  <si>
    <t>Replay append continuity not yet implemented</t>
  </si>
  <si>
    <t>CMD002 deferred</t>
  </si>
  <si>
    <t>Steward Decisions</t>
  </si>
  <si>
    <t>LatestDecisionID</t>
  </si>
  <si>
    <t>LatestDecisionType</t>
  </si>
  <si>
    <t>LatestDecisionReason</t>
  </si>
  <si>
    <t>LatestDecisionOutcome</t>
  </si>
  <si>
    <t>QueueID</t>
  </si>
  <si>
    <t>RelatedSessionID</t>
  </si>
  <si>
    <t>RelatedCommandID</t>
  </si>
  <si>
    <t>QueueType</t>
  </si>
  <si>
    <t>Priority</t>
  </si>
  <si>
    <t>Reason</t>
  </si>
  <si>
    <t>RecommendedNextStep</t>
  </si>
  <si>
    <t>QUE001</t>
  </si>
  <si>
    <t>replay_continuity_review</t>
  </si>
  <si>
    <t>Replay append implementation not yet constitutionally verified</t>
  </si>
  <si>
    <t>review replay append implementation before enabling mutation VBA</t>
  </si>
  <si>
    <t>Steward Review Queue</t>
  </si>
  <si>
    <t>OpenReviewQueueCount</t>
  </si>
  <si>
    <t>HighestPriorityReview</t>
  </si>
  <si>
    <t>LatestReviewReason</t>
  </si>
  <si>
    <t>Description</t>
  </si>
  <si>
    <t>Human-readable purpose of this workbook</t>
  </si>
  <si>
    <t>local</t>
  </si>
  <si>
    <t>ApiBaseUrl</t>
  </si>
  <si>
    <t>/content-posts/generate</t>
  </si>
  <si>
    <t>RequestTimeoutSeconds</t>
  </si>
  <si>
    <t>Future HTTP request timeout</t>
  </si>
  <si>
    <t>AuthMode</t>
  </si>
  <si>
    <t>none</t>
  </si>
  <si>
    <t>Authentication mode for local development</t>
  </si>
  <si>
    <t>ConnectionStatus</t>
  </si>
  <si>
    <t>not_verified</t>
  </si>
  <si>
    <t>Current workbook API connection status</t>
  </si>
  <si>
    <t>Connection Settings</t>
  </si>
  <si>
    <t>Environment</t>
  </si>
  <si>
    <t>Current connection environment</t>
  </si>
  <si>
    <t>http://127.0.0.1:8000/api/v1</t>
  </si>
  <si>
    <t>FastAPI base URL including API version prefix</t>
  </si>
  <si>
    <t>GenerateContentEndpoint</t>
  </si>
  <si>
    <t>Governed content generation endpoint</t>
  </si>
  <si>
    <t>LastApiStatus</t>
  </si>
  <si>
    <t>Last API status returned by future connection checks</t>
  </si>
  <si>
    <t>LastSyncAt</t>
  </si>
  <si>
    <t>Last successful sync timestamp</t>
  </si>
  <si>
    <t>Field</t>
  </si>
  <si>
    <t>Value</t>
  </si>
  <si>
    <t>business_owner_id</t>
  </si>
  <si>
    <t>business_category_key</t>
  </si>
  <si>
    <t>business_line</t>
  </si>
  <si>
    <t>platform</t>
  </si>
  <si>
    <t>goal_key</t>
  </si>
  <si>
    <t>offer_details</t>
  </si>
  <si>
    <t>location</t>
  </si>
  <si>
    <t>contact_method</t>
  </si>
  <si>
    <t>tone</t>
  </si>
  <si>
    <t>template_key</t>
  </si>
  <si>
    <t>WhatsApp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</si>
</sst>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2" borderId="0" xfId="0" applyFont="1" applyFill="1"/>
    <xf numFmtId="14" fontId="0" fillId="0" borderId="0" xfId="0" applyNumberFormat="1"/>
    <xf numFmtId="22" fontId="0" fillId="0" borderId="0" xfId="0" applyNumberFormat="1"/>
    <xf numFmtId="0" fontId="2" fillId="0" borderId="0" xfId="0" applyFont="1"/>
    <xf numFmtId="0" fontId="3" fillId="0" borderId="0" xfId="0" applyFont="1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"/>
  <sheetViews>
    <sheetView workbookViewId="0"/>
  </sheetViews>
  <sheetFormatPr defaultRowHeight="15"/>
  <cols>
    <col min="1" max="1" width="8.85546875" bestFit="1" customWidth="1"/>
    <col min="2" max="2" width="16.5703125" bestFit="1" customWidth="1"/>
    <col min="3" max="3" width="19" bestFit="1" customWidth="1"/>
    <col min="4" max="4" width="24.140625" bestFit="1" customWidth="1"/>
    <col min="5" max="5" width="7.5703125" bestFit="1" customWidth="1"/>
    <col min="6" max="6" width="59.140625" bestFit="1" customWidth="1"/>
    <col min="7" max="7" width="64.28515625" bestFit="1" customWidth="1"/>
    <col min="8" max="8" width="6.42578125" bestFit="1" customWidth="1"/>
  </cols>
  <sheetData>
    <row r="1" spans="1:8">
      <c r="A1" s="1" t="s">
        <v>405</v>
      </c>
      <c r="B1" s="1" t="s">
        <v>406</v>
      </c>
      <c r="C1" s="1" t="s">
        <v>407</v>
      </c>
      <c r="D1" s="1" t="s">
        <v>408</v>
      </c>
      <c r="E1" s="1" t="s">
        <v>409</v>
      </c>
      <c r="F1" s="1" t="s">
        <v>410</v>
      </c>
      <c r="G1" s="1" t="s">
        <v>411</v>
      </c>
      <c r="H1" s="1" t="s">
        <v>22</v>
      </c>
    </row>
    <row r="2" spans="1:8">
      <c r="A2" t="s">
        <v>412</v>
      </c>
      <c r="B2" t="s">
        <v>320</v>
      </c>
      <c r="C2" t="s">
        <v>175</v>
      </c>
      <c r="D2" t="s">
        <v>413</v>
      </c>
      <c r="E2" t="s">
        <v>382</v>
      </c>
      <c r="F2" t="s">
        <v>414</v>
      </c>
      <c r="G2" t="s">
        <v>415</v>
      </c>
      <c r="H2" t="s">
        <v>303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H2"/>
  <sheetViews>
    <sheetView workbookViewId="0"/>
  </sheetViews>
  <sheetFormatPr defaultRowHeight="15"/>
  <cols>
    <col min="1" max="1" width="10.42578125" bestFit="1" customWidth="1"/>
    <col min="2" max="2" width="18.5703125" bestFit="1" customWidth="1"/>
    <col min="3" max="3" width="15.85546875" bestFit="1" customWidth="1"/>
    <col min="4" max="4" width="14.28515625" bestFit="1" customWidth="1"/>
    <col min="5" max="5" width="44" bestFit="1" customWidth="1"/>
    <col min="6" max="6" width="10.42578125" bestFit="1" customWidth="1"/>
    <col min="7" max="7" width="18.7109375" bestFit="1" customWidth="1"/>
    <col min="8" max="8" width="16.5703125" bestFit="1" customWidth="1"/>
  </cols>
  <sheetData>
    <row r="1" spans="1:8">
      <c r="A1" s="1" t="s">
        <v>389</v>
      </c>
      <c r="B1" s="1" t="s">
        <v>184</v>
      </c>
      <c r="C1" s="1" t="s">
        <v>390</v>
      </c>
      <c r="D1" s="1" t="s">
        <v>391</v>
      </c>
      <c r="E1" s="1" t="s">
        <v>392</v>
      </c>
      <c r="F1" s="1" t="s">
        <v>393</v>
      </c>
      <c r="G1" s="1" t="s">
        <v>394</v>
      </c>
      <c r="H1" s="1" t="s">
        <v>395</v>
      </c>
    </row>
    <row r="2" spans="1:8">
      <c r="A2" t="s">
        <v>396</v>
      </c>
      <c r="B2" t="s">
        <v>320</v>
      </c>
      <c r="C2" t="s">
        <v>397</v>
      </c>
      <c r="D2" t="s">
        <v>380</v>
      </c>
      <c r="E2" t="s">
        <v>398</v>
      </c>
      <c r="F2" t="s">
        <v>133</v>
      </c>
      <c r="G2" s="3">
        <v>46166</v>
      </c>
      <c r="H2" t="s">
        <v>399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G4"/>
  <sheetViews>
    <sheetView workbookViewId="0"/>
  </sheetViews>
  <sheetFormatPr defaultRowHeight="15"/>
  <cols>
    <col min="1" max="1" width="7.28515625" bestFit="1" customWidth="1"/>
    <col min="2" max="2" width="23.42578125" bestFit="1" customWidth="1"/>
    <col min="3" max="3" width="8.42578125" bestFit="1" customWidth="1"/>
    <col min="4" max="4" width="38" bestFit="1" customWidth="1"/>
    <col min="5" max="5" width="12.7109375" bestFit="1" customWidth="1"/>
    <col min="6" max="6" width="44.5703125" bestFit="1" customWidth="1"/>
    <col min="7" max="7" width="6.42578125" bestFit="1" customWidth="1"/>
  </cols>
  <sheetData>
    <row r="1" spans="1:7">
      <c r="A1" s="1" t="s">
        <v>362</v>
      </c>
      <c r="B1" s="1" t="s">
        <v>363</v>
      </c>
      <c r="C1" s="1" t="s">
        <v>364</v>
      </c>
      <c r="D1" s="1" t="s">
        <v>365</v>
      </c>
      <c r="E1" s="1" t="s">
        <v>366</v>
      </c>
      <c r="F1" s="1" t="s">
        <v>367</v>
      </c>
      <c r="G1" s="1" t="s">
        <v>22</v>
      </c>
    </row>
    <row r="2" spans="1:7">
      <c r="A2" t="s">
        <v>368</v>
      </c>
      <c r="B2" t="s">
        <v>369</v>
      </c>
      <c r="C2" t="s">
        <v>370</v>
      </c>
      <c r="D2" t="s">
        <v>371</v>
      </c>
      <c r="E2" t="s">
        <v>372</v>
      </c>
      <c r="F2" t="s">
        <v>373</v>
      </c>
      <c r="G2" t="s">
        <v>374</v>
      </c>
    </row>
    <row r="3" spans="1:7">
      <c r="A3" t="s">
        <v>375</v>
      </c>
      <c r="B3" t="s">
        <v>376</v>
      </c>
      <c r="C3" t="s">
        <v>377</v>
      </c>
      <c r="D3" t="s">
        <v>378</v>
      </c>
      <c r="E3" t="s">
        <v>335</v>
      </c>
      <c r="F3" t="s">
        <v>379</v>
      </c>
      <c r="G3" t="s">
        <v>374</v>
      </c>
    </row>
    <row r="4" spans="1:7">
      <c r="A4" t="s">
        <v>380</v>
      </c>
      <c r="B4" t="s">
        <v>381</v>
      </c>
      <c r="C4" t="s">
        <v>382</v>
      </c>
      <c r="D4" t="s">
        <v>383</v>
      </c>
      <c r="E4" t="s">
        <v>384</v>
      </c>
      <c r="F4" t="s">
        <v>385</v>
      </c>
      <c r="G4" t="s">
        <v>374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G42"/>
  <sheetViews>
    <sheetView workbookViewId="0"/>
  </sheetViews>
  <sheetFormatPr defaultRowHeight="15"/>
  <cols>
    <col min="1" max="1" width="38.7109375" bestFit="1" customWidth="1"/>
    <col min="2" max="2" width="44" bestFit="1" customWidth="1"/>
    <col min="4" max="4" width="24.140625" bestFit="1" customWidth="1"/>
    <col min="5" max="5" width="64.28515625" bestFit="1" customWidth="1"/>
    <col min="6" max="6" width="12.7109375" bestFit="1" customWidth="1"/>
    <col min="7" max="7" width="44.5703125" bestFit="1" customWidth="1"/>
  </cols>
  <sheetData>
    <row r="1" spans="1:5" ht="23.25">
      <c r="A1" s="6" t="s">
        <v>336</v>
      </c>
    </row>
    <row r="3" spans="1:5">
      <c r="A3" s="7" t="s">
        <v>337</v>
      </c>
      <c r="B3" s="8"/>
      <c r="D3" s="7" t="s">
        <v>343</v>
      </c>
      <c r="E3" s="8"/>
    </row>
    <row r="4" spans="1:5">
      <c r="A4" s="8" t="s">
        <v>338</v>
      </c>
      <c r="B4" s="8" t="str">
        <f>Dashboard!B39</f>
        <v>SES002</v>
      </c>
      <c r="D4" s="8" t="s">
        <v>344</v>
      </c>
      <c r="E4" s="8" t="str">
        <f>Dashboard!B52</f>
        <v>BO002</v>
      </c>
    </row>
    <row r="5" spans="1:5">
      <c r="A5" s="8" t="s">
        <v>339</v>
      </c>
      <c r="B5" s="8" t="str">
        <f>Dashboard!B40</f>
        <v>open</v>
      </c>
      <c r="D5" s="8" t="s">
        <v>345</v>
      </c>
      <c r="E5" s="8" t="str">
        <f>Dashboard!B53</f>
        <v>real_estate</v>
      </c>
    </row>
    <row r="6" spans="1:5">
      <c r="A6" s="8" t="s">
        <v>340</v>
      </c>
      <c r="B6" s="8" t="str">
        <f>Dashboard!B33</f>
        <v>CMD002</v>
      </c>
      <c r="D6" s="8" t="s">
        <v>346</v>
      </c>
      <c r="E6" s="8" t="str">
        <f>Dashboard!B61</f>
        <v>CPT002</v>
      </c>
    </row>
    <row r="7" spans="1:5">
      <c r="A7" s="8" t="s">
        <v>341</v>
      </c>
      <c r="B7" s="8" t="b">
        <f>Dashboard!B37</f>
        <v>1</v>
      </c>
      <c r="D7" s="8" t="s">
        <v>347</v>
      </c>
      <c r="E7" s="8" t="str">
        <f>Dashboard!B62</f>
        <v>REV005</v>
      </c>
    </row>
    <row r="8" spans="1:5">
      <c r="A8" s="8" t="s">
        <v>229</v>
      </c>
      <c r="B8" s="8" t="b">
        <f>Dashboard!B46</f>
        <v>1</v>
      </c>
    </row>
    <row r="9" spans="1:5">
      <c r="A9" s="8" t="s">
        <v>342</v>
      </c>
      <c r="B9" s="8" t="str">
        <f>Dashboard!B66</f>
        <v>dry_run_only</v>
      </c>
    </row>
    <row r="12" spans="1:5">
      <c r="A12" s="7" t="s">
        <v>348</v>
      </c>
      <c r="B12" s="8"/>
      <c r="D12" s="7" t="s">
        <v>353</v>
      </c>
      <c r="E12" s="8"/>
    </row>
    <row r="13" spans="1:5">
      <c r="A13" s="8" t="s">
        <v>349</v>
      </c>
      <c r="B13" s="8" t="str">
        <f>Dashboard!B49</f>
        <v>planned</v>
      </c>
      <c r="D13" s="8" t="s">
        <v>354</v>
      </c>
      <c r="E13" s="8" t="str">
        <f>Dashboard!B21</f>
        <v>ACT002</v>
      </c>
    </row>
    <row r="14" spans="1:5">
      <c r="A14" s="8" t="s">
        <v>350</v>
      </c>
      <c r="B14" s="8" t="str">
        <f>Dashboard!B65</f>
        <v>atomicity_ready</v>
      </c>
      <c r="D14" s="8" t="s">
        <v>355</v>
      </c>
      <c r="E14" s="8" t="str">
        <f>Dashboard!B39</f>
        <v>SES002</v>
      </c>
    </row>
    <row r="15" spans="1:5">
      <c r="A15" s="8" t="s">
        <v>351</v>
      </c>
      <c r="B15" s="8" t="str">
        <f>IFERROR(VLOOKUP("RPC001",ReplayMutationContract!A:E,5,FALSE),"Not found")</f>
        <v>planned</v>
      </c>
      <c r="D15" s="8" t="s">
        <v>356</v>
      </c>
      <c r="E15" s="8" t="str">
        <f>IFERROR(LOOKUP(2,1/(ReplayEvents!A:A&lt;&gt;""),ReplayEvents!A:A),"None")</f>
        <v>EV004</v>
      </c>
    </row>
    <row r="16" spans="1:5">
      <c r="A16" s="8" t="s">
        <v>352</v>
      </c>
      <c r="B16" s="8" t="str">
        <f>IF(COUNTA(CMD002FailureRegistry!A2:A100)&gt;0,"declared","missing")</f>
        <v>declared</v>
      </c>
      <c r="D16" s="8" t="s">
        <v>357</v>
      </c>
      <c r="E16" s="8" t="str">
        <f>IFERROR(VLOOKUP("RPC001",ReplayMutationContract!A:D,4,FALSE),"Not found")</f>
        <v>append_only</v>
      </c>
    </row>
    <row r="20" spans="1:7">
      <c r="A20" s="7" t="s">
        <v>358</v>
      </c>
      <c r="B20" s="8"/>
      <c r="D20" s="7" t="s">
        <v>386</v>
      </c>
      <c r="E20" s="8"/>
      <c r="F20" s="8"/>
      <c r="G20" s="8"/>
    </row>
    <row r="21" spans="1:7">
      <c r="A21" s="8" t="s">
        <v>228</v>
      </c>
      <c r="B21" s="8">
        <f>Dashboard!B45</f>
        <v>0</v>
      </c>
      <c r="D21" s="8" t="s">
        <v>387</v>
      </c>
      <c r="E21" s="8">
        <f>COUNTIF(StewardAlerts!G:G,"active")</f>
        <v>3</v>
      </c>
      <c r="F21" s="8"/>
      <c r="G21" s="8"/>
    </row>
    <row r="22" spans="1:7">
      <c r="A22" s="8" t="s">
        <v>359</v>
      </c>
      <c r="B22" s="8">
        <f>COUNTIF(CMD002FailureRegistry!F:F,"planned")</f>
        <v>3</v>
      </c>
      <c r="D22" s="8" t="s">
        <v>388</v>
      </c>
      <c r="E22" s="8" t="str">
        <f>IF(COUNTIF(StewardAlerts!C:C,"high")&gt;0,"high",IF(COUNTIF(StewardAlerts!C:C,"medium")&gt;0,"medium",IF(COUNTIF(StewardAlerts!C:C,"low")&gt;0,"low","none")))</f>
        <v>high</v>
      </c>
      <c r="F22" s="8"/>
      <c r="G22" s="8"/>
    </row>
    <row r="23" spans="1:7">
      <c r="A23" s="8" t="s">
        <v>360</v>
      </c>
      <c r="B23" s="8" t="b">
        <f>IFERROR(VLOOKUP(Dashboard!B39,ExecutionSessions!A:J,10,FALSE),"Not found")</f>
        <v>0</v>
      </c>
      <c r="D23" s="8"/>
      <c r="E23" s="8"/>
      <c r="F23" s="8"/>
      <c r="G23" s="8"/>
    </row>
    <row r="24" spans="1:7">
      <c r="A24" s="8" t="s">
        <v>361</v>
      </c>
      <c r="B24" s="8" t="str">
        <f>Dashboard!B66</f>
        <v>dry_run_only</v>
      </c>
      <c r="D24" s="7" t="s">
        <v>362</v>
      </c>
      <c r="E24" s="7" t="s">
        <v>364</v>
      </c>
      <c r="F24" s="7" t="s">
        <v>366</v>
      </c>
      <c r="G24" s="7" t="s">
        <v>367</v>
      </c>
    </row>
    <row r="25" spans="1:7">
      <c r="D25" s="8" t="str">
        <f>StewardAlerts!A2</f>
        <v>ALT001</v>
      </c>
      <c r="E25" s="8" t="str">
        <f>StewardAlerts!C2</f>
        <v>medium</v>
      </c>
      <c r="F25" s="8" t="str">
        <f>StewardAlerts!E2</f>
        <v>SES002 open</v>
      </c>
      <c r="G25" s="8" t="str">
        <f>StewardAlerts!F2</f>
        <v>either execute or close session</v>
      </c>
    </row>
    <row r="26" spans="1:7">
      <c r="D26" s="8" t="str">
        <f>StewardAlerts!A3</f>
        <v>ALT002</v>
      </c>
      <c r="E26" s="8" t="str">
        <f>StewardAlerts!C3</f>
        <v>low</v>
      </c>
      <c r="F26" s="8" t="str">
        <f>StewardAlerts!E3</f>
        <v>dry_run_only</v>
      </c>
      <c r="G26" s="8" t="str">
        <f>StewardAlerts!F3</f>
        <v>implementation still constitutionally blocked</v>
      </c>
    </row>
    <row r="27" spans="1:7">
      <c r="D27" s="8" t="str">
        <f>StewardAlerts!A4</f>
        <v>ALT003</v>
      </c>
      <c r="E27" s="8" t="str">
        <f>StewardAlerts!C4</f>
        <v>high</v>
      </c>
      <c r="F27" s="8" t="str">
        <f>StewardAlerts!E4</f>
        <v>pending</v>
      </c>
      <c r="G27" s="8" t="str">
        <f>StewardAlerts!F4</f>
        <v>do not allow mutation without replay continuity</v>
      </c>
    </row>
    <row r="29" spans="1:7">
      <c r="A29" s="7" t="s">
        <v>400</v>
      </c>
      <c r="B29" s="8"/>
      <c r="D29" s="7" t="s">
        <v>416</v>
      </c>
      <c r="E29" s="8"/>
    </row>
    <row r="30" spans="1:7">
      <c r="A30" s="7" t="s">
        <v>401</v>
      </c>
      <c r="B30" s="8" t="str">
        <f>IFERROR(LOOKUP(2,1/(StewardDecisionLog!A:A&lt;&gt;""),StewardDecisionLog!A:A),"None")</f>
        <v>DEC001</v>
      </c>
      <c r="D30" s="7" t="s">
        <v>417</v>
      </c>
      <c r="E30" s="8">
        <f>COUNTIF(StewardReviewQueue!H:H,"open")</f>
        <v>1</v>
      </c>
    </row>
    <row r="31" spans="1:7">
      <c r="A31" s="7" t="s">
        <v>402</v>
      </c>
      <c r="B31" s="8" t="str">
        <f>IFERROR(LOOKUP(2,1/(StewardDecisionLog!A:A&lt;&gt;""),StewardDecisionLog!C:C),"None")</f>
        <v>defer_execution</v>
      </c>
      <c r="D31" s="7" t="s">
        <v>418</v>
      </c>
      <c r="E31" s="8" t="str">
        <f>IF(COUNTIFS(StewardReviewQueue!H:H,"open",StewardReviewQueue!E:E,"high")&gt;0,"high",IF(COUNTIFS(StewardReviewQueue!H:H,"open",StewardReviewQueue!E:E,"medium")&gt;0,"medium",IF(COUNTIFS(StewardReviewQueue!H:H,"open",StewardReviewQueue!E:E,"low")&gt;0,"low","none")))</f>
        <v>high</v>
      </c>
    </row>
    <row r="32" spans="1:7">
      <c r="A32" s="7" t="s">
        <v>403</v>
      </c>
      <c r="B32" s="8" t="str">
        <f>IFERROR(LOOKUP(2,1/(StewardDecisionLog!A:A&lt;&gt;""),StewardDecisionLog!E:E),"None")</f>
        <v>Replay append continuity not yet implemented</v>
      </c>
      <c r="D32" s="7" t="s">
        <v>419</v>
      </c>
      <c r="E32" s="8" t="str">
        <f>IFERROR(LOOKUP(2,1/(StewardReviewQueue!H:H="open"),StewardReviewQueue!F:F),"None")</f>
        <v>Replay append implementation not yet constitutionally verified</v>
      </c>
    </row>
    <row r="33" spans="1:5">
      <c r="A33" s="7" t="s">
        <v>404</v>
      </c>
      <c r="B33" s="8" t="str">
        <f>IFERROR(LOOKUP(2,1/(StewardDecisionLog!A:A&lt;&gt;""),StewardDecisionLog!H:H),"None")</f>
        <v>CMD002 deferred</v>
      </c>
      <c r="D33" s="7" t="s">
        <v>411</v>
      </c>
      <c r="E33" s="8" t="str">
        <f>IFERROR(LOOKUP(2,1/(StewardReviewQueue!H:H="open"),StewardReviewQueue!G:G),"None")</f>
        <v>review replay append implementation before enabling mutation VBA</v>
      </c>
    </row>
    <row r="36" spans="1:5">
      <c r="A36" s="7" t="s">
        <v>433</v>
      </c>
      <c r="B36" s="8"/>
    </row>
    <row r="37" spans="1:5">
      <c r="A37" s="7" t="s">
        <v>434</v>
      </c>
      <c r="B37" s="8" t="str">
        <f>IFERROR(VLOOKUP("Environment",Settings!A:C,2,FALSE),"Not found")</f>
        <v>local</v>
      </c>
    </row>
    <row r="38" spans="1:5">
      <c r="A38" s="7" t="s">
        <v>423</v>
      </c>
      <c r="B38" s="8" t="str">
        <f>IFERROR(VLOOKUP("ApiBaseUrl",Settings!A:C,2,FALSE),"Not found")</f>
        <v>http://127.0.0.1:8000/api/v1</v>
      </c>
    </row>
    <row r="39" spans="1:5">
      <c r="A39" s="7" t="s">
        <v>438</v>
      </c>
      <c r="B39" s="8" t="str">
        <f>IFERROR(VLOOKUP("GenerateContentEndpoint",Settings!A:C,2,FALSE),"Not found")</f>
        <v>/content-posts/generate</v>
      </c>
    </row>
    <row r="40" spans="1:5">
      <c r="A40" s="7" t="s">
        <v>430</v>
      </c>
      <c r="B40" s="8" t="str">
        <f>IFERROR(VLOOKUP("ConnectionStatus",Settings!A:C,2,FALSE),"Not found")</f>
        <v>not_verified</v>
      </c>
    </row>
    <row r="41" spans="1:5">
      <c r="A41" s="7" t="s">
        <v>440</v>
      </c>
      <c r="B41" s="8" t="str">
        <f>IFERROR(IF(VLOOKUP("LastApiStatus",Settings!A:C,2,FALSE)=0,"",VLOOKUP("LastApiStatus",Settings!A:C,2,FALSE)),"")</f>
        <v/>
      </c>
    </row>
    <row r="42" spans="1:5">
      <c r="A42" s="7" t="s">
        <v>442</v>
      </c>
      <c r="B42" s="8" t="str">
        <f>IFERROR(IF(VLOOKUP("LastSyncAt",Settings!A:C,2,FALSE)=0,"",VLOOKUP("LastSyncAt",Settings!A:C,2,FALSE)),"")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F2"/>
  <sheetViews>
    <sheetView workbookViewId="0"/>
  </sheetViews>
  <sheetFormatPr defaultRowHeight="15"/>
  <cols>
    <col min="1" max="1" width="12.42578125" bestFit="1" customWidth="1"/>
    <col min="2" max="2" width="18.5703125" bestFit="1" customWidth="1"/>
    <col min="3" max="4" width="22.7109375" bestFit="1" customWidth="1"/>
    <col min="5" max="5" width="23" bestFit="1" customWidth="1"/>
    <col min="6" max="6" width="43.140625" bestFit="1" customWidth="1"/>
  </cols>
  <sheetData>
    <row r="1" spans="1:6">
      <c r="A1" s="1" t="s">
        <v>321</v>
      </c>
      <c r="B1" s="1" t="s">
        <v>184</v>
      </c>
      <c r="C1" s="1" t="s">
        <v>309</v>
      </c>
      <c r="D1" s="1" t="s">
        <v>310</v>
      </c>
      <c r="E1" s="1" t="s">
        <v>322</v>
      </c>
      <c r="F1" s="1" t="s">
        <v>170</v>
      </c>
    </row>
    <row r="2" spans="1:6">
      <c r="A2" t="s">
        <v>323</v>
      </c>
      <c r="B2" t="s">
        <v>320</v>
      </c>
      <c r="C2" t="s">
        <v>324</v>
      </c>
      <c r="D2" t="s">
        <v>325</v>
      </c>
      <c r="E2" t="s">
        <v>326</v>
      </c>
      <c r="F2" t="s">
        <v>327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F2"/>
  <sheetViews>
    <sheetView workbookViewId="0"/>
  </sheetViews>
  <sheetFormatPr defaultRowHeight="15"/>
  <cols>
    <col min="1" max="1" width="7.5703125" bestFit="1" customWidth="1"/>
    <col min="2" max="2" width="11.85546875" bestFit="1" customWidth="1"/>
    <col min="3" max="3" width="20.7109375" bestFit="1" customWidth="1"/>
    <col min="4" max="4" width="21.42578125" bestFit="1" customWidth="1"/>
    <col min="5" max="5" width="45.7109375" bestFit="1" customWidth="1"/>
    <col min="6" max="6" width="8.28515625" bestFit="1" customWidth="1"/>
  </cols>
  <sheetData>
    <row r="1" spans="1:6">
      <c r="A1" s="1" t="s">
        <v>267</v>
      </c>
      <c r="B1" s="1" t="s">
        <v>164</v>
      </c>
      <c r="C1" s="1" t="s">
        <v>312</v>
      </c>
      <c r="D1" s="1" t="s">
        <v>313</v>
      </c>
      <c r="E1" s="1" t="s">
        <v>314</v>
      </c>
      <c r="F1" s="1" t="s">
        <v>22</v>
      </c>
    </row>
    <row r="2" spans="1:6">
      <c r="A2" t="s">
        <v>315</v>
      </c>
      <c r="B2" t="s">
        <v>175</v>
      </c>
      <c r="C2" t="b">
        <v>1</v>
      </c>
      <c r="D2" t="b">
        <v>1</v>
      </c>
      <c r="E2" t="s">
        <v>316</v>
      </c>
      <c r="F2" t="s">
        <v>150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G4"/>
  <sheetViews>
    <sheetView topLeftCell="B1" workbookViewId="0"/>
  </sheetViews>
  <sheetFormatPr defaultRowHeight="15"/>
  <cols>
    <col min="1" max="1" width="11" bestFit="1" customWidth="1"/>
    <col min="2" max="2" width="24.5703125" bestFit="1" customWidth="1"/>
    <col min="3" max="3" width="15" bestFit="1" customWidth="1"/>
    <col min="4" max="4" width="20.7109375" bestFit="1" customWidth="1"/>
    <col min="5" max="5" width="22.7109375" bestFit="1" customWidth="1"/>
    <col min="6" max="6" width="20.85546875" bestFit="1" customWidth="1"/>
    <col min="7" max="7" width="8.28515625" bestFit="1" customWidth="1"/>
  </cols>
  <sheetData>
    <row r="1" spans="1:7">
      <c r="A1" s="1" t="s">
        <v>293</v>
      </c>
      <c r="B1" s="1" t="s">
        <v>294</v>
      </c>
      <c r="C1" s="1" t="s">
        <v>295</v>
      </c>
      <c r="D1" s="1" t="s">
        <v>296</v>
      </c>
      <c r="E1" s="1" t="s">
        <v>297</v>
      </c>
      <c r="F1" s="1" t="s">
        <v>298</v>
      </c>
      <c r="G1" s="1" t="s">
        <v>22</v>
      </c>
    </row>
    <row r="2" spans="1:7">
      <c r="A2" t="s">
        <v>299</v>
      </c>
      <c r="B2" t="s">
        <v>300</v>
      </c>
      <c r="C2" t="b">
        <v>1</v>
      </c>
      <c r="D2" t="b">
        <v>1</v>
      </c>
      <c r="E2" t="b">
        <v>1</v>
      </c>
      <c r="F2" t="s">
        <v>197</v>
      </c>
      <c r="G2" t="s">
        <v>150</v>
      </c>
    </row>
    <row r="3" spans="1:7">
      <c r="A3" t="s">
        <v>301</v>
      </c>
      <c r="B3" t="s">
        <v>302</v>
      </c>
      <c r="C3" t="b">
        <v>0</v>
      </c>
      <c r="D3" t="b">
        <v>1</v>
      </c>
      <c r="E3" t="b">
        <v>0</v>
      </c>
      <c r="F3" t="s">
        <v>303</v>
      </c>
      <c r="G3" t="s">
        <v>150</v>
      </c>
    </row>
    <row r="4" spans="1:7">
      <c r="A4" t="s">
        <v>304</v>
      </c>
      <c r="B4" t="s">
        <v>305</v>
      </c>
      <c r="C4" t="b">
        <v>1</v>
      </c>
      <c r="D4" t="b">
        <v>1</v>
      </c>
      <c r="E4" t="b">
        <v>0</v>
      </c>
      <c r="F4" t="s">
        <v>161</v>
      </c>
      <c r="G4" t="s">
        <v>150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F4"/>
  <sheetViews>
    <sheetView topLeftCell="C1" workbookViewId="0"/>
  </sheetViews>
  <sheetFormatPr defaultRowHeight="15"/>
  <cols>
    <col min="1" max="1" width="9" bestFit="1" customWidth="1"/>
    <col min="2" max="2" width="23.140625" bestFit="1" customWidth="1"/>
    <col min="3" max="3" width="25.7109375" bestFit="1" customWidth="1"/>
    <col min="4" max="4" width="17.28515625" bestFit="1" customWidth="1"/>
    <col min="5" max="5" width="21.42578125" bestFit="1" customWidth="1"/>
    <col min="6" max="6" width="8.28515625" bestFit="1" customWidth="1"/>
  </cols>
  <sheetData>
    <row r="1" spans="1:6">
      <c r="A1" s="1" t="s">
        <v>273</v>
      </c>
      <c r="B1" s="1" t="s">
        <v>274</v>
      </c>
      <c r="C1" s="1" t="s">
        <v>275</v>
      </c>
      <c r="D1" s="1" t="s">
        <v>276</v>
      </c>
      <c r="E1" s="1" t="s">
        <v>277</v>
      </c>
      <c r="F1" s="1" t="s">
        <v>22</v>
      </c>
    </row>
    <row r="2" spans="1:6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150</v>
      </c>
    </row>
    <row r="3" spans="1:6">
      <c r="A3" t="s">
        <v>283</v>
      </c>
      <c r="B3" t="s">
        <v>284</v>
      </c>
      <c r="C3" t="s">
        <v>285</v>
      </c>
      <c r="D3" t="s">
        <v>286</v>
      </c>
      <c r="E3" t="s">
        <v>287</v>
      </c>
      <c r="F3" t="s">
        <v>150</v>
      </c>
    </row>
    <row r="4" spans="1:6">
      <c r="A4" t="s">
        <v>288</v>
      </c>
      <c r="B4" t="s">
        <v>289</v>
      </c>
      <c r="C4" t="s">
        <v>290</v>
      </c>
      <c r="D4" t="s">
        <v>291</v>
      </c>
      <c r="E4" t="s">
        <v>292</v>
      </c>
      <c r="F4" t="s">
        <v>150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F2"/>
  <sheetViews>
    <sheetView workbookViewId="0"/>
  </sheetViews>
  <sheetFormatPr defaultRowHeight="15"/>
  <cols>
    <col min="1" max="1" width="8" bestFit="1" customWidth="1"/>
    <col min="2" max="2" width="11.85546875" bestFit="1" customWidth="1"/>
    <col min="3" max="3" width="21.85546875" bestFit="1" customWidth="1"/>
    <col min="4" max="4" width="22.5703125" bestFit="1" customWidth="1"/>
    <col min="5" max="5" width="27.42578125" bestFit="1" customWidth="1"/>
    <col min="6" max="6" width="8.28515625" bestFit="1" customWidth="1"/>
  </cols>
  <sheetData>
    <row r="1" spans="1:6">
      <c r="A1" s="1" t="s">
        <v>267</v>
      </c>
      <c r="B1" s="1" t="s">
        <v>164</v>
      </c>
      <c r="C1" s="1" t="s">
        <v>268</v>
      </c>
      <c r="D1" s="1" t="s">
        <v>269</v>
      </c>
      <c r="E1" s="1" t="s">
        <v>270</v>
      </c>
      <c r="F1" s="1" t="s">
        <v>22</v>
      </c>
    </row>
    <row r="2" spans="1:6">
      <c r="A2" t="s">
        <v>271</v>
      </c>
      <c r="B2" t="s">
        <v>175</v>
      </c>
      <c r="C2" t="b">
        <v>1</v>
      </c>
      <c r="D2" t="b">
        <v>1</v>
      </c>
      <c r="E2" t="s">
        <v>272</v>
      </c>
      <c r="F2" t="s">
        <v>150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defaultRowHeight="15"/>
  <cols>
    <col min="1" max="1" width="21" bestFit="1" customWidth="1"/>
    <col min="3" max="3" width="32" bestFit="1" customWidth="1"/>
    <col min="4" max="4" width="13.42578125" bestFit="1" customWidth="1"/>
    <col min="5" max="5" width="18.7109375" bestFit="1" customWidth="1"/>
    <col min="6" max="6" width="8.28515625" bestFit="1" customWidth="1"/>
  </cols>
  <sheetData>
    <row r="1" spans="1:6">
      <c r="A1" s="1" t="s">
        <v>261</v>
      </c>
      <c r="B1" s="1" t="s">
        <v>251</v>
      </c>
      <c r="C1" s="1" t="s">
        <v>252</v>
      </c>
      <c r="D1" s="1" t="s">
        <v>262</v>
      </c>
      <c r="E1" s="1" t="s">
        <v>263</v>
      </c>
      <c r="F1" s="1" t="s">
        <v>22</v>
      </c>
    </row>
    <row r="2" spans="1:6">
      <c r="A2" t="s">
        <v>264</v>
      </c>
      <c r="B2" t="b">
        <v>1</v>
      </c>
      <c r="C2" t="s">
        <v>255</v>
      </c>
      <c r="D2" t="s">
        <v>248</v>
      </c>
      <c r="E2" t="s">
        <v>24</v>
      </c>
      <c r="F2" t="s">
        <v>150</v>
      </c>
    </row>
    <row r="3" spans="1:6">
      <c r="A3" t="s">
        <v>9</v>
      </c>
      <c r="B3" t="b">
        <v>1</v>
      </c>
      <c r="C3" t="s">
        <v>265</v>
      </c>
      <c r="D3" t="s">
        <v>248</v>
      </c>
      <c r="E3" t="s">
        <v>258</v>
      </c>
      <c r="F3" t="s">
        <v>150</v>
      </c>
    </row>
    <row r="4" spans="1:6">
      <c r="A4" t="s">
        <v>129</v>
      </c>
      <c r="B4" t="b">
        <v>1</v>
      </c>
      <c r="C4" t="s">
        <v>18</v>
      </c>
      <c r="D4" t="s">
        <v>248</v>
      </c>
      <c r="E4" t="s">
        <v>18</v>
      </c>
      <c r="F4" t="s">
        <v>150</v>
      </c>
    </row>
    <row r="5" spans="1:6">
      <c r="A5" t="s">
        <v>128</v>
      </c>
      <c r="B5" t="b">
        <v>1</v>
      </c>
      <c r="C5" t="s">
        <v>0</v>
      </c>
      <c r="D5" t="s">
        <v>248</v>
      </c>
      <c r="E5" t="s">
        <v>0</v>
      </c>
      <c r="F5" t="s">
        <v>150</v>
      </c>
    </row>
    <row r="6" spans="1:6">
      <c r="A6" t="s">
        <v>184</v>
      </c>
      <c r="B6" t="b">
        <v>1</v>
      </c>
      <c r="C6" t="s">
        <v>266</v>
      </c>
      <c r="D6" t="s">
        <v>248</v>
      </c>
      <c r="E6" t="s">
        <v>24</v>
      </c>
      <c r="F6" t="s">
        <v>150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defaultRowHeight="15"/>
  <cols>
    <col min="1" max="1" width="14" bestFit="1" customWidth="1"/>
    <col min="3" max="3" width="25" bestFit="1" customWidth="1"/>
    <col min="4" max="4" width="14.7109375" bestFit="1" customWidth="1"/>
    <col min="5" max="5" width="12.85546875" bestFit="1" customWidth="1"/>
    <col min="6" max="6" width="8.28515625" bestFit="1" customWidth="1"/>
  </cols>
  <sheetData>
    <row r="1" spans="1:6">
      <c r="A1" s="1" t="s">
        <v>250</v>
      </c>
      <c r="B1" s="1" t="s">
        <v>251</v>
      </c>
      <c r="C1" s="1" t="s">
        <v>252</v>
      </c>
      <c r="D1" s="1" t="s">
        <v>253</v>
      </c>
      <c r="E1" s="1" t="s">
        <v>254</v>
      </c>
      <c r="F1" s="1" t="s">
        <v>22</v>
      </c>
    </row>
    <row r="2" spans="1:6">
      <c r="A2" t="s">
        <v>18</v>
      </c>
      <c r="B2" t="b">
        <v>1</v>
      </c>
      <c r="C2" t="s">
        <v>255</v>
      </c>
      <c r="D2" t="s">
        <v>238</v>
      </c>
      <c r="E2" t="b">
        <v>1</v>
      </c>
      <c r="F2" t="s">
        <v>150</v>
      </c>
    </row>
    <row r="3" spans="1:6">
      <c r="A3" t="s">
        <v>0</v>
      </c>
      <c r="B3" t="b">
        <v>1</v>
      </c>
      <c r="C3" t="s">
        <v>256</v>
      </c>
      <c r="D3" t="s">
        <v>238</v>
      </c>
      <c r="E3" t="b">
        <v>1</v>
      </c>
      <c r="F3" t="s">
        <v>150</v>
      </c>
    </row>
    <row r="4" spans="1:6">
      <c r="A4" t="s">
        <v>53</v>
      </c>
      <c r="B4" t="b">
        <v>1</v>
      </c>
      <c r="C4" t="s">
        <v>257</v>
      </c>
      <c r="D4" t="s">
        <v>238</v>
      </c>
      <c r="E4" t="b">
        <v>1</v>
      </c>
      <c r="F4" t="s">
        <v>150</v>
      </c>
    </row>
    <row r="5" spans="1:6">
      <c r="A5" t="s">
        <v>258</v>
      </c>
      <c r="B5" t="b">
        <v>1</v>
      </c>
      <c r="C5" t="s">
        <v>259</v>
      </c>
      <c r="D5" t="s">
        <v>238</v>
      </c>
      <c r="E5" t="b">
        <v>1</v>
      </c>
      <c r="F5" t="s">
        <v>150</v>
      </c>
    </row>
    <row r="6" spans="1:6">
      <c r="A6" t="s">
        <v>24</v>
      </c>
      <c r="B6" t="b">
        <v>1</v>
      </c>
      <c r="C6" t="s">
        <v>260</v>
      </c>
      <c r="D6" t="s">
        <v>238</v>
      </c>
      <c r="E6" t="b">
        <v>1</v>
      </c>
      <c r="F6" t="s">
        <v>150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F2"/>
  <sheetViews>
    <sheetView workbookViewId="0"/>
  </sheetViews>
  <sheetFormatPr defaultRowHeight="15"/>
  <cols>
    <col min="1" max="1" width="10.28515625" bestFit="1" customWidth="1"/>
    <col min="2" max="2" width="19.85546875" bestFit="1" customWidth="1"/>
    <col min="3" max="3" width="26.28515625" bestFit="1" customWidth="1"/>
    <col min="4" max="4" width="22.85546875" bestFit="1" customWidth="1"/>
    <col min="5" max="5" width="12.42578125" bestFit="1" customWidth="1"/>
    <col min="6" max="6" width="65.85546875" bestFit="1" customWidth="1"/>
  </cols>
  <sheetData>
    <row r="1" spans="1:6">
      <c r="A1" s="1" t="s">
        <v>241</v>
      </c>
      <c r="B1" s="1" t="s">
        <v>242</v>
      </c>
      <c r="C1" s="1" t="s">
        <v>243</v>
      </c>
      <c r="D1" s="1" t="s">
        <v>244</v>
      </c>
      <c r="E1" s="1" t="s">
        <v>245</v>
      </c>
      <c r="F1" s="1" t="s">
        <v>170</v>
      </c>
    </row>
    <row r="2" spans="1:6">
      <c r="A2" t="s">
        <v>246</v>
      </c>
      <c r="B2" t="s">
        <v>236</v>
      </c>
      <c r="C2" t="s">
        <v>247</v>
      </c>
      <c r="D2" t="s">
        <v>248</v>
      </c>
      <c r="E2" t="s">
        <v>150</v>
      </c>
      <c r="F2" t="s">
        <v>249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G2"/>
  <sheetViews>
    <sheetView workbookViewId="0"/>
  </sheetViews>
  <sheetFormatPr defaultRowHeight="15"/>
  <cols>
    <col min="1" max="1" width="11.28515625" bestFit="1" customWidth="1"/>
    <col min="2" max="2" width="25" bestFit="1" customWidth="1"/>
    <col min="3" max="3" width="12.85546875" bestFit="1" customWidth="1"/>
    <col min="4" max="4" width="14.7109375" bestFit="1" customWidth="1"/>
    <col min="5" max="6" width="15.28515625" bestFit="1" customWidth="1"/>
    <col min="7" max="7" width="8.28515625" bestFit="1" customWidth="1"/>
  </cols>
  <sheetData>
    <row r="1" spans="1:7">
      <c r="A1" s="1" t="s">
        <v>230</v>
      </c>
      <c r="B1" s="1" t="s">
        <v>231</v>
      </c>
      <c r="C1" s="1" t="s">
        <v>232</v>
      </c>
      <c r="D1" s="1" t="s">
        <v>233</v>
      </c>
      <c r="E1" s="1" t="s">
        <v>234</v>
      </c>
      <c r="F1" s="1" t="s">
        <v>235</v>
      </c>
      <c r="G1" s="1" t="s">
        <v>22</v>
      </c>
    </row>
    <row r="2" spans="1:7">
      <c r="A2" t="s">
        <v>236</v>
      </c>
      <c r="B2" t="s">
        <v>237</v>
      </c>
      <c r="C2" t="s">
        <v>113</v>
      </c>
      <c r="D2" t="s">
        <v>238</v>
      </c>
      <c r="E2" t="b">
        <v>1</v>
      </c>
      <c r="F2" t="b">
        <v>1</v>
      </c>
      <c r="G2" t="s">
        <v>150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E9"/>
  <sheetViews>
    <sheetView workbookViewId="0"/>
  </sheetViews>
  <sheetFormatPr defaultRowHeight="15"/>
  <cols>
    <col min="1" max="1" width="8.140625" bestFit="1" customWidth="1"/>
    <col min="2" max="2" width="50.7109375" bestFit="1" customWidth="1"/>
    <col min="3" max="3" width="35.5703125" bestFit="1" customWidth="1"/>
    <col min="4" max="4" width="10.5703125" bestFit="1" customWidth="1"/>
    <col min="5" max="5" width="48.7109375" bestFit="1" customWidth="1"/>
  </cols>
  <sheetData>
    <row r="1" spans="1:5">
      <c r="A1" s="1" t="s">
        <v>199</v>
      </c>
      <c r="B1" s="1" t="s">
        <v>200</v>
      </c>
      <c r="C1" s="1" t="s">
        <v>201</v>
      </c>
      <c r="D1" s="1" t="s">
        <v>22</v>
      </c>
      <c r="E1" s="1" t="s">
        <v>157</v>
      </c>
    </row>
    <row r="2" spans="1:5">
      <c r="A2" t="s">
        <v>202</v>
      </c>
      <c r="B2" t="s">
        <v>203</v>
      </c>
      <c r="C2" t="s">
        <v>204</v>
      </c>
      <c r="D2" t="s">
        <v>319</v>
      </c>
    </row>
    <row r="3" spans="1:5">
      <c r="A3" t="s">
        <v>205</v>
      </c>
      <c r="B3" t="s">
        <v>206</v>
      </c>
      <c r="C3" t="s">
        <v>207</v>
      </c>
      <c r="D3" t="s">
        <v>319</v>
      </c>
    </row>
    <row r="4" spans="1:5">
      <c r="A4" t="s">
        <v>208</v>
      </c>
      <c r="B4" t="s">
        <v>209</v>
      </c>
      <c r="C4" t="s">
        <v>210</v>
      </c>
      <c r="D4" t="s">
        <v>319</v>
      </c>
    </row>
    <row r="5" spans="1:5">
      <c r="A5" t="s">
        <v>211</v>
      </c>
      <c r="B5" t="s">
        <v>212</v>
      </c>
      <c r="C5" t="s">
        <v>213</v>
      </c>
      <c r="D5" t="s">
        <v>319</v>
      </c>
    </row>
    <row r="6" spans="1:5">
      <c r="A6" t="s">
        <v>214</v>
      </c>
      <c r="B6" t="s">
        <v>215</v>
      </c>
      <c r="C6" t="s">
        <v>216</v>
      </c>
      <c r="D6" t="s">
        <v>319</v>
      </c>
    </row>
    <row r="7" spans="1:5">
      <c r="A7" t="s">
        <v>217</v>
      </c>
      <c r="B7" t="s">
        <v>218</v>
      </c>
      <c r="C7" t="s">
        <v>219</v>
      </c>
      <c r="D7" t="s">
        <v>319</v>
      </c>
    </row>
    <row r="8" spans="1:5">
      <c r="A8" t="s">
        <v>220</v>
      </c>
      <c r="B8" t="s">
        <v>221</v>
      </c>
      <c r="C8" t="s">
        <v>222</v>
      </c>
      <c r="D8" t="s">
        <v>319</v>
      </c>
    </row>
    <row r="9" spans="1:5">
      <c r="A9" t="s">
        <v>223</v>
      </c>
      <c r="B9" t="s">
        <v>224</v>
      </c>
      <c r="C9" t="s">
        <v>113</v>
      </c>
      <c r="D9" t="s">
        <v>319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:J3"/>
  <sheetViews>
    <sheetView workbookViewId="0"/>
  </sheetViews>
  <sheetFormatPr defaultRowHeight="15"/>
  <cols>
    <col min="1" max="1" width="18.5703125" bestFit="1" customWidth="1"/>
    <col min="2" max="2" width="10.7109375" bestFit="1" customWidth="1"/>
    <col min="3" max="3" width="9.5703125" bestFit="1" customWidth="1"/>
    <col min="4" max="4" width="45.7109375" bestFit="1" customWidth="1"/>
    <col min="5" max="5" width="13.28515625" bestFit="1" customWidth="1"/>
    <col min="6" max="6" width="10.7109375" bestFit="1" customWidth="1"/>
    <col min="7" max="7" width="54.28515625" bestFit="1" customWidth="1"/>
    <col min="8" max="8" width="20.42578125" bestFit="1" customWidth="1"/>
    <col min="9" max="9" width="17.85546875" bestFit="1" customWidth="1"/>
    <col min="10" max="10" width="16" bestFit="1" customWidth="1"/>
  </cols>
  <sheetData>
    <row r="1" spans="1:10">
      <c r="A1" s="1" t="s">
        <v>184</v>
      </c>
      <c r="B1" s="1" t="s">
        <v>186</v>
      </c>
      <c r="C1" s="1" t="s">
        <v>187</v>
      </c>
      <c r="D1" s="1" t="s">
        <v>188</v>
      </c>
      <c r="E1" s="1" t="s">
        <v>189</v>
      </c>
      <c r="F1" s="1" t="s">
        <v>190</v>
      </c>
      <c r="G1" s="1" t="s">
        <v>191</v>
      </c>
      <c r="H1" s="1" t="s">
        <v>194</v>
      </c>
      <c r="I1" s="1" t="s">
        <v>195</v>
      </c>
      <c r="J1" s="1" t="s">
        <v>196</v>
      </c>
    </row>
    <row r="2" spans="1:10">
      <c r="A2" t="s">
        <v>185</v>
      </c>
      <c r="B2" s="3">
        <v>46166</v>
      </c>
      <c r="C2" t="s">
        <v>133</v>
      </c>
      <c r="D2" t="s">
        <v>192</v>
      </c>
      <c r="E2" t="s">
        <v>197</v>
      </c>
      <c r="F2" s="3">
        <v>46166</v>
      </c>
      <c r="G2" t="s">
        <v>198</v>
      </c>
      <c r="H2">
        <v>1</v>
      </c>
      <c r="I2">
        <f>COUNTIF(AdminActions!M:M,A2)</f>
        <v>1</v>
      </c>
      <c r="J2" t="b">
        <f>I2&gt;=H2</f>
        <v>1</v>
      </c>
    </row>
    <row r="3" spans="1:10">
      <c r="A3" t="s">
        <v>320</v>
      </c>
      <c r="B3" s="3">
        <v>46166</v>
      </c>
      <c r="C3" t="s">
        <v>133</v>
      </c>
      <c r="D3" t="s">
        <v>316</v>
      </c>
      <c r="E3" t="s">
        <v>303</v>
      </c>
      <c r="H3">
        <v>3</v>
      </c>
      <c r="I3">
        <f>COUNTIF(AdminActions!M:M,A3)</f>
        <v>0</v>
      </c>
      <c r="J3" t="b">
        <f>I3&gt;=H3</f>
        <v>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"/>
  <dimension ref="A1:B66"/>
  <sheetViews>
    <sheetView topLeftCell="A40" workbookViewId="0">
      <selection activeCell="I25" sqref="I25"/>
    </sheetView>
  </sheetViews>
  <sheetFormatPr defaultRowHeight="15"/>
  <cols>
    <col min="1" max="1" width="36.7109375" bestFit="1" customWidth="1"/>
    <col min="2" max="2" width="42.5703125" bestFit="1" customWidth="1"/>
  </cols>
  <sheetData>
    <row r="1" spans="1:2" ht="21">
      <c r="A1" s="5" t="s">
        <v>47</v>
      </c>
    </row>
    <row r="2" spans="1:2">
      <c r="A2" s="1" t="s">
        <v>119</v>
      </c>
      <c r="B2" t="s">
        <v>98</v>
      </c>
    </row>
    <row r="3" spans="1:2">
      <c r="A3" s="1" t="s">
        <v>48</v>
      </c>
      <c r="B3" t="str">
        <f>IFERROR(VLOOKUP(B7,BusinessOwners!A:B,2,FALSE),"Not found")</f>
        <v>Hope Homes Realty</v>
      </c>
    </row>
    <row r="4" spans="1:2">
      <c r="A4" s="1" t="s">
        <v>49</v>
      </c>
      <c r="B4" t="str">
        <f>IFERROR(VLOOKUP(B8,ContentPosts!A:F,6,FALSE),"Not found")</f>
        <v>Affordable funeral cover options for families.</v>
      </c>
    </row>
    <row r="5" spans="1:2">
      <c r="A5" s="1" t="s">
        <v>50</v>
      </c>
      <c r="B5" t="str">
        <f>COUNTIF(ReplayEvents!B:B,B8)&amp;" replay events"</f>
        <v>4 replay events</v>
      </c>
    </row>
    <row r="6" spans="1:2">
      <c r="A6" s="1"/>
    </row>
    <row r="7" spans="1:2">
      <c r="A7" s="1" t="s">
        <v>51</v>
      </c>
      <c r="B7" t="s">
        <v>90</v>
      </c>
    </row>
    <row r="8" spans="1:2">
      <c r="A8" s="1" t="s">
        <v>52</v>
      </c>
      <c r="B8" t="s">
        <v>26</v>
      </c>
    </row>
    <row r="9" spans="1:2">
      <c r="A9" s="1"/>
    </row>
    <row r="10" spans="1:2">
      <c r="A10" s="1" t="s">
        <v>53</v>
      </c>
      <c r="B10" t="str">
        <f>IFERROR(VLOOKUP(B7,BusinessOwners!A:F,6,FALSE),"Not found")</f>
        <v>real_estate</v>
      </c>
    </row>
    <row r="11" spans="1:2">
      <c r="A11" s="1" t="s">
        <v>19</v>
      </c>
      <c r="B11" t="str">
        <f>IFERROR(VLOOKUP(B10,BusinessTemplates!A:H,3,FALSE),"Not found")</f>
        <v>Property Agent</v>
      </c>
    </row>
    <row r="12" spans="1:2">
      <c r="A12" s="1" t="s">
        <v>54</v>
      </c>
      <c r="B12" t="str">
        <f>IFERROR(VLOOKUP(B10,BusinessTemplates!A:H,4,FALSE),"Not found")</f>
        <v>facebook</v>
      </c>
    </row>
    <row r="13" spans="1:2">
      <c r="A13" s="1" t="s">
        <v>55</v>
      </c>
      <c r="B13" t="str">
        <f>IFERROR(VLOOKUP(B10,BusinessTemplates!A:H,5,FALSE),"Not found")</f>
        <v>generate_leads</v>
      </c>
    </row>
    <row r="14" spans="1:2">
      <c r="A14" s="1" t="s">
        <v>56</v>
      </c>
      <c r="B14" t="str">
        <f>IFERROR(VLOOKUP(B10,BusinessTemplates!A:H,6,FALSE),"Not found")</f>
        <v>professional</v>
      </c>
    </row>
    <row r="15" spans="1:2">
      <c r="A15" s="1" t="s">
        <v>57</v>
      </c>
      <c r="B15" t="str">
        <f>IFERROR(VLOOKUP(B10,BusinessTemplates!A:H,7,FALSE),"Not found")</f>
        <v>Affordable homes available in Pretoria.</v>
      </c>
    </row>
    <row r="16" spans="1:2">
      <c r="A16" s="1"/>
    </row>
    <row r="17" spans="1:2">
      <c r="A17" s="1" t="s">
        <v>120</v>
      </c>
      <c r="B17" t="str">
        <f>IFERROR(VLOOKUP(B2,SystemNavigation!A:E,3,FALSE),"Not found")</f>
        <v>Dashboard</v>
      </c>
    </row>
    <row r="18" spans="1:2">
      <c r="A18" s="1" t="s">
        <v>121</v>
      </c>
      <c r="B18" t="str">
        <f>IFERROR(VLOOKUP(B2,SystemNavigation!A:E,4,FALSE),"Not found")</f>
        <v>B2</v>
      </c>
    </row>
    <row r="19" spans="1:2">
      <c r="A19" s="1" t="s">
        <v>122</v>
      </c>
      <c r="B19" t="str">
        <f>IFERROR(VLOOKUP(B2,SystemNavigation!A:E,5,FALSE),"Not found")</f>
        <v>Main Control</v>
      </c>
    </row>
    <row r="21" spans="1:2">
      <c r="A21" s="1" t="s">
        <v>136</v>
      </c>
      <c r="B21" t="str">
        <f>IFERROR(LOOKUP(2,1/(AdminActions!A:A&lt;&gt;""),AdminActions!A:A),"Not found")</f>
        <v>ACT002</v>
      </c>
    </row>
    <row r="22" spans="1:2">
      <c r="A22" s="1" t="s">
        <v>137</v>
      </c>
      <c r="B22" t="str">
        <f>IFERROR(LOOKUP(2,1/(AdminActions!A:A&lt;&gt;""),AdminActions!D:D),"Not found")</f>
        <v>navigation_executed</v>
      </c>
    </row>
    <row r="23" spans="1:2">
      <c r="A23" s="1" t="s">
        <v>138</v>
      </c>
      <c r="B23" t="str">
        <f>IFERROR(LOOKUP(2,1/(AdminActions!A:A&lt;&gt;""),AdminActions!K:K),"Not found")</f>
        <v>Executed CMD001 navigation to Dashboard!B2</v>
      </c>
    </row>
    <row r="25" spans="1:2">
      <c r="A25" s="1" t="s">
        <v>151</v>
      </c>
      <c r="B25" t="s">
        <v>145</v>
      </c>
    </row>
    <row r="26" spans="1:2">
      <c r="A26" s="1" t="s">
        <v>140</v>
      </c>
      <c r="B26" t="str">
        <f>IFERROR(VLOOKUP(B25,ActionIntents!A:G,2,FALSE),"Not found")</f>
        <v>open_navigation</v>
      </c>
    </row>
    <row r="27" spans="1:2">
      <c r="A27" s="1" t="s">
        <v>152</v>
      </c>
      <c r="B27" t="str">
        <f>IFERROR(VLOOKUP(B25,ActionIntents!A:G,7,FALSE),"Not found")</f>
        <v>approved</v>
      </c>
    </row>
    <row r="29" spans="1:2">
      <c r="A29" s="1" t="s">
        <v>162</v>
      </c>
      <c r="B29" t="s">
        <v>160</v>
      </c>
    </row>
    <row r="30" spans="1:2">
      <c r="A30" s="1" t="s">
        <v>163</v>
      </c>
      <c r="B30" t="str">
        <f>IFERROR(VLOOKUP(B29,ExecutionReadiness!A:G,6,FALSE),"Not found")</f>
        <v>ready</v>
      </c>
    </row>
    <row r="31" spans="1:2">
      <c r="A31" s="1" t="s">
        <v>157</v>
      </c>
      <c r="B31" t="str">
        <f>IFERROR(IF(VLOOKUP(B29,ExecutionReadiness!A:G,7,FALSE)=0,"",VLOOKUP(B29,ExecutionReadiness!A:G,7,FALSE)),"Not found")</f>
        <v/>
      </c>
    </row>
    <row r="33" spans="1:2">
      <c r="A33" s="1" t="s">
        <v>178</v>
      </c>
      <c r="B33" t="s">
        <v>175</v>
      </c>
    </row>
    <row r="34" spans="1:2">
      <c r="A34" s="1" t="s">
        <v>165</v>
      </c>
      <c r="B34" t="str">
        <f>IFERROR(VLOOKUP(B33,MacroCommandRegistry!A:G,2,FALSE),"Not found")</f>
        <v>CreateContentPostDraft</v>
      </c>
    </row>
    <row r="35" spans="1:2">
      <c r="A35" s="1" t="s">
        <v>169</v>
      </c>
      <c r="B35" t="str">
        <f>IFERROR(VLOOKUP(B33,MacroCommandRegistry!A:G,6,FALSE),"Not found")</f>
        <v>planned</v>
      </c>
    </row>
    <row r="37" spans="1:2">
      <c r="A37" s="1" t="s">
        <v>179</v>
      </c>
      <c r="B37" t="b">
        <f>AND(OR(B35="planned",B35="approved"),B30="ready")</f>
        <v>1</v>
      </c>
    </row>
    <row r="39" spans="1:2">
      <c r="A39" s="1" t="s">
        <v>193</v>
      </c>
      <c r="B39" t="s">
        <v>320</v>
      </c>
    </row>
    <row r="40" spans="1:2">
      <c r="A40" s="1" t="s">
        <v>189</v>
      </c>
      <c r="B40" t="str">
        <f>IFERROR(VLOOKUP(B39,ExecutionSessions!A:G,5,FALSE),"Not found")</f>
        <v>open</v>
      </c>
    </row>
    <row r="42" spans="1:2">
      <c r="A42" s="1" t="s">
        <v>225</v>
      </c>
    </row>
    <row r="43" spans="1:2">
      <c r="A43" s="1" t="s">
        <v>226</v>
      </c>
      <c r="B43">
        <f>COUNTA(CMD002ReadinessChecklist!A2:A100)</f>
        <v>8</v>
      </c>
    </row>
    <row r="44" spans="1:2">
      <c r="A44" s="1" t="s">
        <v>227</v>
      </c>
      <c r="B44">
        <f>COUNTIF(CMD002ReadinessChecklist!D:D,"completed")</f>
        <v>8</v>
      </c>
    </row>
    <row r="45" spans="1:2">
      <c r="A45" s="1" t="s">
        <v>228</v>
      </c>
      <c r="B45">
        <f>COUNTIF(CMD002ReadinessChecklist!D:D,"blocked")</f>
        <v>0</v>
      </c>
    </row>
    <row r="46" spans="1:2">
      <c r="A46" s="1" t="s">
        <v>229</v>
      </c>
      <c r="B46" t="b">
        <f>AND(B43&gt;0,B44=B43,B45=0)</f>
        <v>1</v>
      </c>
    </row>
    <row r="47" spans="1:2">
      <c r="A47" s="1" t="s">
        <v>239</v>
      </c>
      <c r="B47" t="s">
        <v>236</v>
      </c>
    </row>
    <row r="48" spans="1:2">
      <c r="A48" s="1" t="s">
        <v>231</v>
      </c>
      <c r="B48" t="str">
        <f>IFERROR(VLOOKUP(B47,DraftMutationBoundary!A:G,2,FALSE),"Not found")</f>
        <v>create_draft_content_post</v>
      </c>
    </row>
    <row r="49" spans="1:2">
      <c r="A49" s="1" t="s">
        <v>240</v>
      </c>
      <c r="B49" t="str">
        <f>IFERROR(VLOOKUP(B47,DraftMutationBoundary!A:G,7,FALSE),"Not found")</f>
        <v>planned</v>
      </c>
    </row>
    <row r="51" spans="1:2">
      <c r="A51" s="1" t="s">
        <v>306</v>
      </c>
    </row>
    <row r="52" spans="1:2">
      <c r="A52" s="1" t="s">
        <v>307</v>
      </c>
      <c r="B52" t="str">
        <f>B7</f>
        <v>BO002</v>
      </c>
    </row>
    <row r="53" spans="1:2">
      <c r="A53" s="1" t="s">
        <v>308</v>
      </c>
      <c r="B53" t="str">
        <f>B10</f>
        <v>real_estate</v>
      </c>
    </row>
    <row r="54" spans="1:2">
      <c r="A54" s="1" t="s">
        <v>309</v>
      </c>
      <c r="B54" t="str">
        <f>"CPT"&amp;TEXT(COUNTA(ContentPosts!A2:A100)+1,"000")</f>
        <v>CPT002</v>
      </c>
    </row>
    <row r="55" spans="1:2">
      <c r="A55" s="1" t="s">
        <v>310</v>
      </c>
      <c r="B55" t="str">
        <f>"REV"&amp;TEXT(COUNTA(ReplayEvents!A2:A100)+1,"000")</f>
        <v>REV005</v>
      </c>
    </row>
    <row r="56" spans="1:2">
      <c r="A56" s="1" t="s">
        <v>311</v>
      </c>
      <c r="B56" t="str">
        <f>IF(B40="open",B39,"No open session")</f>
        <v>SES002</v>
      </c>
    </row>
    <row r="57" spans="1:2">
      <c r="A57" s="1" t="s">
        <v>317</v>
      </c>
      <c r="B57" t="b">
        <f>AND(IFERROR(VLOOKUP("CMD002",CMD002SessionOpenRule!B:D,2,FALSE),FALSE)=TRUE,IFERROR(VLOOKUP("CMD002",CMD002SessionOpenRule!B:D,3,FALSE),FALSE)=TRUE,B56="No open session")</f>
        <v>0</v>
      </c>
    </row>
    <row r="58" spans="1:2">
      <c r="A58" s="1" t="s">
        <v>318</v>
      </c>
      <c r="B58" t="str">
        <f>"SES"&amp;TEXT(COUNTA(ExecutionSessions!A2:A100)+1,"000")</f>
        <v>SES003</v>
      </c>
    </row>
    <row r="60" spans="1:2">
      <c r="A60" s="1" t="s">
        <v>328</v>
      </c>
    </row>
    <row r="61" spans="1:2">
      <c r="A61" s="1" t="s">
        <v>329</v>
      </c>
      <c r="B61" t="str">
        <f>B54</f>
        <v>CPT002</v>
      </c>
    </row>
    <row r="62" spans="1:2">
      <c r="A62" s="1" t="s">
        <v>330</v>
      </c>
      <c r="B62" t="str">
        <f>B55</f>
        <v>REV005</v>
      </c>
    </row>
    <row r="63" spans="1:2">
      <c r="A63" s="1" t="s">
        <v>331</v>
      </c>
      <c r="B63" t="str">
        <f>B56</f>
        <v>SES002</v>
      </c>
    </row>
    <row r="64" spans="1:2">
      <c r="A64" s="1" t="s">
        <v>332</v>
      </c>
      <c r="B64" t="str">
        <f>IFERROR(VLOOKUP("BND001",ReplayMutationContract!B:C,2,FALSE),"Not found")</f>
        <v>content_post_draft_created</v>
      </c>
    </row>
    <row r="65" spans="1:2">
      <c r="A65" s="1" t="s">
        <v>333</v>
      </c>
      <c r="B65" t="str">
        <f>IF(AND(IFERROR(VLOOKUP("ATM001",CMD002AtomicityRule!A:D,3,FALSE),FALSE)=TRUE,IFERROR(VLOOKUP("ATM001",CMD002AtomicityRule!A:D,4,FALSE),FALSE)=TRUE,B46=TRUE),"atomicity_ready","atomicity_blocked")</f>
        <v>atomicity_ready</v>
      </c>
    </row>
    <row r="66" spans="1:2">
      <c r="A66" s="1" t="s">
        <v>334</v>
      </c>
      <c r="B66" t="s">
        <v>335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6"/>
  <dimension ref="A1:H7"/>
  <sheetViews>
    <sheetView workbookViewId="0"/>
  </sheetViews>
  <sheetFormatPr defaultRowHeight="15"/>
  <cols>
    <col min="1" max="1" width="23.7109375" bestFit="1" customWidth="1"/>
    <col min="2" max="2" width="15.5703125" bestFit="1" customWidth="1"/>
    <col min="3" max="3" width="23.7109375" bestFit="1" customWidth="1"/>
    <col min="4" max="4" width="15.42578125" bestFit="1" customWidth="1"/>
    <col min="5" max="5" width="21.7109375" bestFit="1" customWidth="1"/>
    <col min="6" max="6" width="12" bestFit="1" customWidth="1"/>
    <col min="7" max="7" width="45" bestFit="1" customWidth="1"/>
    <col min="8" max="8" width="6.5703125" bestFit="1" customWidth="1"/>
  </cols>
  <sheetData>
    <row r="1" spans="1:8">
      <c r="A1" s="1" t="s">
        <v>53</v>
      </c>
      <c r="B1" s="1" t="s">
        <v>2</v>
      </c>
      <c r="C1" s="1" t="s">
        <v>19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</row>
    <row r="2" spans="1:8">
      <c r="A2" t="s">
        <v>59</v>
      </c>
      <c r="B2" t="s">
        <v>60</v>
      </c>
      <c r="C2" t="s">
        <v>27</v>
      </c>
      <c r="D2" t="s">
        <v>61</v>
      </c>
      <c r="E2" t="s">
        <v>29</v>
      </c>
      <c r="F2" t="s">
        <v>62</v>
      </c>
      <c r="G2" t="s">
        <v>30</v>
      </c>
      <c r="H2" t="b">
        <v>1</v>
      </c>
    </row>
    <row r="3" spans="1:8">
      <c r="A3" t="s">
        <v>63</v>
      </c>
      <c r="B3" t="s">
        <v>64</v>
      </c>
      <c r="C3" t="s">
        <v>65</v>
      </c>
      <c r="D3" t="s">
        <v>61</v>
      </c>
      <c r="E3" t="s">
        <v>29</v>
      </c>
      <c r="F3" t="s">
        <v>66</v>
      </c>
      <c r="G3" t="s">
        <v>67</v>
      </c>
      <c r="H3" t="b">
        <v>1</v>
      </c>
    </row>
    <row r="4" spans="1:8">
      <c r="A4" t="s">
        <v>68</v>
      </c>
      <c r="B4" t="s">
        <v>69</v>
      </c>
      <c r="C4" t="s">
        <v>70</v>
      </c>
      <c r="D4" t="s">
        <v>61</v>
      </c>
      <c r="E4" t="s">
        <v>71</v>
      </c>
      <c r="F4" t="s">
        <v>72</v>
      </c>
      <c r="G4" t="s">
        <v>73</v>
      </c>
      <c r="H4" t="b">
        <v>1</v>
      </c>
    </row>
    <row r="5" spans="1:8">
      <c r="A5" t="s">
        <v>74</v>
      </c>
      <c r="B5" t="s">
        <v>75</v>
      </c>
      <c r="C5" t="s">
        <v>76</v>
      </c>
      <c r="D5" t="s">
        <v>61</v>
      </c>
      <c r="E5" t="s">
        <v>77</v>
      </c>
      <c r="F5" t="s">
        <v>62</v>
      </c>
      <c r="G5" t="s">
        <v>78</v>
      </c>
      <c r="H5" t="b">
        <v>1</v>
      </c>
    </row>
    <row r="6" spans="1:8">
      <c r="A6" t="s">
        <v>79</v>
      </c>
      <c r="B6" t="s">
        <v>80</v>
      </c>
      <c r="C6" t="s">
        <v>81</v>
      </c>
      <c r="D6" t="s">
        <v>61</v>
      </c>
      <c r="E6" t="s">
        <v>82</v>
      </c>
      <c r="F6" t="s">
        <v>83</v>
      </c>
      <c r="G6" t="s">
        <v>84</v>
      </c>
      <c r="H6" t="b">
        <v>1</v>
      </c>
    </row>
    <row r="7" spans="1:8">
      <c r="A7" t="s">
        <v>85</v>
      </c>
      <c r="B7" t="s">
        <v>86</v>
      </c>
      <c r="C7" t="s">
        <v>87</v>
      </c>
      <c r="D7" t="s">
        <v>61</v>
      </c>
      <c r="E7" t="s">
        <v>88</v>
      </c>
      <c r="F7" t="s">
        <v>62</v>
      </c>
      <c r="G7" t="s">
        <v>89</v>
      </c>
      <c r="H7" t="b">
        <v>1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"/>
  <dimension ref="A1:F3"/>
  <sheetViews>
    <sheetView workbookViewId="0">
      <selection activeCell="D14" sqref="D14"/>
    </sheetView>
  </sheetViews>
  <sheetFormatPr defaultRowHeight="15"/>
  <cols>
    <col min="1" max="1" width="8.85546875" bestFit="1" customWidth="1"/>
    <col min="2" max="2" width="21.140625" bestFit="1" customWidth="1"/>
    <col min="3" max="3" width="13.42578125" bestFit="1" customWidth="1"/>
    <col min="4" max="4" width="8.42578125" bestFit="1" customWidth="1"/>
    <col min="5" max="5" width="10" bestFit="1" customWidth="1"/>
    <col min="6" max="6" width="13.425781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1" t="s">
        <v>53</v>
      </c>
    </row>
    <row r="2" spans="1:6">
      <c r="A2" t="s">
        <v>14</v>
      </c>
      <c r="B2" t="s">
        <v>15</v>
      </c>
      <c r="C2" t="s">
        <v>16</v>
      </c>
      <c r="D2" t="s">
        <v>17</v>
      </c>
      <c r="E2">
        <v>821234567</v>
      </c>
      <c r="F2" t="s">
        <v>63</v>
      </c>
    </row>
    <row r="3" spans="1:6">
      <c r="A3" t="s">
        <v>90</v>
      </c>
      <c r="B3" t="s">
        <v>91</v>
      </c>
      <c r="C3" t="s">
        <v>75</v>
      </c>
      <c r="D3" t="s">
        <v>92</v>
      </c>
      <c r="E3">
        <v>735551234</v>
      </c>
      <c r="F3" t="s">
        <v>74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"/>
  <dimension ref="A1:J2"/>
  <sheetViews>
    <sheetView workbookViewId="0">
      <selection activeCell="A3" sqref="A3"/>
    </sheetView>
  </sheetViews>
  <sheetFormatPr defaultRowHeight="15"/>
  <cols>
    <col min="1" max="1" width="14" bestFit="1" customWidth="1"/>
    <col min="2" max="2" width="8.85546875" bestFit="1" customWidth="1"/>
    <col min="3" max="3" width="19.28515625" bestFit="1" customWidth="1"/>
    <col min="4" max="4" width="9.42578125" bestFit="1" customWidth="1"/>
    <col min="5" max="5" width="15.140625" bestFit="1" customWidth="1"/>
    <col min="6" max="6" width="42.140625" bestFit="1" customWidth="1"/>
    <col min="7" max="7" width="18.28515625" bestFit="1" customWidth="1"/>
    <col min="8" max="8" width="6.42578125" bestFit="1" customWidth="1"/>
    <col min="9" max="9" width="10" bestFit="1" customWidth="1"/>
    <col min="10" max="10" width="13.42578125" bestFit="1" customWidth="1"/>
  </cols>
  <sheetData>
    <row r="1" spans="1:10">
      <c r="A1" s="1" t="s">
        <v>18</v>
      </c>
      <c r="B1" s="1" t="s">
        <v>0</v>
      </c>
      <c r="C1" s="1" t="s">
        <v>19</v>
      </c>
      <c r="D1" s="1" t="s">
        <v>5</v>
      </c>
      <c r="E1" s="1" t="s">
        <v>20</v>
      </c>
      <c r="F1" s="1" t="s">
        <v>6</v>
      </c>
      <c r="G1" s="1" t="s">
        <v>21</v>
      </c>
      <c r="H1" s="1" t="s">
        <v>22</v>
      </c>
      <c r="I1" s="1" t="s">
        <v>7</v>
      </c>
      <c r="J1" s="1" t="s">
        <v>53</v>
      </c>
    </row>
    <row r="2" spans="1:10">
      <c r="A2" t="s">
        <v>26</v>
      </c>
      <c r="B2" t="s">
        <v>14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s="3">
        <v>46166</v>
      </c>
      <c r="J2" t="s">
        <v>63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"/>
  <dimension ref="A1:H5"/>
  <sheetViews>
    <sheetView workbookViewId="0"/>
  </sheetViews>
  <sheetFormatPr defaultRowHeight="15"/>
  <cols>
    <col min="1" max="1" width="7.85546875" bestFit="1" customWidth="1"/>
    <col min="2" max="2" width="14" bestFit="1" customWidth="1"/>
    <col min="3" max="3" width="8.85546875" bestFit="1" customWidth="1"/>
    <col min="4" max="4" width="23.85546875" bestFit="1" customWidth="1"/>
    <col min="5" max="5" width="15.5703125" bestFit="1" customWidth="1"/>
    <col min="6" max="6" width="13.85546875" bestFit="1" customWidth="1"/>
    <col min="7" max="7" width="30" bestFit="1" customWidth="1"/>
    <col min="8" max="8" width="15.85546875" bestFit="1" customWidth="1"/>
  </cols>
  <sheetData>
    <row r="1" spans="1:8">
      <c r="A1" s="1" t="s">
        <v>8</v>
      </c>
      <c r="B1" s="1" t="s">
        <v>18</v>
      </c>
      <c r="C1" s="1" t="s">
        <v>0</v>
      </c>
      <c r="D1" s="1" t="s">
        <v>9</v>
      </c>
      <c r="E1" s="1" t="s">
        <v>23</v>
      </c>
      <c r="F1" s="1" t="s">
        <v>24</v>
      </c>
      <c r="G1" s="1" t="s">
        <v>25</v>
      </c>
      <c r="H1" s="1" t="s">
        <v>7</v>
      </c>
    </row>
    <row r="2" spans="1:8">
      <c r="A2" t="s">
        <v>33</v>
      </c>
      <c r="B2" t="s">
        <v>26</v>
      </c>
      <c r="C2" t="s">
        <v>14</v>
      </c>
      <c r="D2" t="s">
        <v>34</v>
      </c>
      <c r="E2" t="s">
        <v>35</v>
      </c>
      <c r="G2" t="s">
        <v>36</v>
      </c>
      <c r="H2" s="4">
        <v>46166.333333333336</v>
      </c>
    </row>
    <row r="3" spans="1:8">
      <c r="A3" t="s">
        <v>37</v>
      </c>
      <c r="B3" t="s">
        <v>26</v>
      </c>
      <c r="C3" t="s">
        <v>14</v>
      </c>
      <c r="D3" t="s">
        <v>38</v>
      </c>
      <c r="E3" t="s">
        <v>35</v>
      </c>
      <c r="F3" t="s">
        <v>33</v>
      </c>
      <c r="G3" t="s">
        <v>39</v>
      </c>
      <c r="H3" s="4">
        <v>46166.334027777775</v>
      </c>
    </row>
    <row r="4" spans="1:8">
      <c r="A4" t="s">
        <v>40</v>
      </c>
      <c r="B4" t="s">
        <v>26</v>
      </c>
      <c r="C4" t="s">
        <v>14</v>
      </c>
      <c r="D4" t="s">
        <v>41</v>
      </c>
      <c r="E4" t="s">
        <v>35</v>
      </c>
      <c r="F4" t="s">
        <v>37</v>
      </c>
      <c r="G4" t="s">
        <v>42</v>
      </c>
      <c r="H4" s="4">
        <v>46166.334722222222</v>
      </c>
    </row>
    <row r="5" spans="1:8">
      <c r="A5" t="s">
        <v>43</v>
      </c>
      <c r="B5" t="s">
        <v>26</v>
      </c>
      <c r="C5" t="s">
        <v>14</v>
      </c>
      <c r="D5" t="s">
        <v>44</v>
      </c>
      <c r="E5" t="s">
        <v>45</v>
      </c>
      <c r="F5" t="s">
        <v>40</v>
      </c>
      <c r="G5" t="s">
        <v>46</v>
      </c>
      <c r="H5" s="4">
        <v>46166.335416666669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7"/>
  <dimension ref="A1:G3"/>
  <sheetViews>
    <sheetView workbookViewId="0"/>
  </sheetViews>
  <sheetFormatPr defaultRowHeight="15"/>
  <cols>
    <col min="1" max="1" width="11.85546875" bestFit="1" customWidth="1"/>
    <col min="2" max="2" width="23.7109375" bestFit="1" customWidth="1"/>
    <col min="3" max="3" width="14.28515625" bestFit="1" customWidth="1"/>
    <col min="4" max="4" width="23.7109375" bestFit="1" customWidth="1"/>
    <col min="5" max="5" width="19.42578125" bestFit="1" customWidth="1"/>
    <col min="6" max="6" width="15.5703125" bestFit="1" customWidth="1"/>
    <col min="7" max="7" width="61.42578125" bestFit="1" customWidth="1"/>
  </cols>
  <sheetData>
    <row r="1" spans="1:7">
      <c r="A1" s="1" t="s">
        <v>164</v>
      </c>
      <c r="B1" s="1" t="s">
        <v>165</v>
      </c>
      <c r="C1" s="1" t="s">
        <v>166</v>
      </c>
      <c r="D1" s="1" t="s">
        <v>167</v>
      </c>
      <c r="E1" s="1" t="s">
        <v>168</v>
      </c>
      <c r="F1" s="1" t="s">
        <v>169</v>
      </c>
      <c r="G1" s="1" t="s">
        <v>170</v>
      </c>
    </row>
    <row r="2" spans="1:7">
      <c r="A2" t="s">
        <v>171</v>
      </c>
      <c r="B2" t="s">
        <v>172</v>
      </c>
      <c r="C2" t="s">
        <v>145</v>
      </c>
      <c r="D2" t="s">
        <v>159</v>
      </c>
      <c r="E2" t="s">
        <v>173</v>
      </c>
      <c r="F2" t="s">
        <v>150</v>
      </c>
      <c r="G2" t="s">
        <v>174</v>
      </c>
    </row>
    <row r="3" spans="1:7">
      <c r="A3" t="s">
        <v>175</v>
      </c>
      <c r="B3" t="s">
        <v>176</v>
      </c>
      <c r="C3" t="s">
        <v>148</v>
      </c>
      <c r="D3" t="s">
        <v>159</v>
      </c>
      <c r="E3" t="s">
        <v>113</v>
      </c>
      <c r="F3" t="s">
        <v>150</v>
      </c>
      <c r="G3" t="s">
        <v>177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8"/>
  <dimension ref="A1:G3"/>
  <sheetViews>
    <sheetView workbookViewId="0"/>
  </sheetViews>
  <sheetFormatPr defaultRowHeight="15"/>
  <cols>
    <col min="1" max="1" width="11.85546875" bestFit="1" customWidth="1"/>
    <col min="2" max="2" width="8.28515625" bestFit="1" customWidth="1"/>
    <col min="3" max="4" width="23.28515625" bestFit="1" customWidth="1"/>
    <col min="5" max="5" width="19" bestFit="1" customWidth="1"/>
    <col min="6" max="6" width="8" bestFit="1" customWidth="1"/>
    <col min="7" max="7" width="53" bestFit="1" customWidth="1"/>
  </cols>
  <sheetData>
    <row r="1" spans="1:7">
      <c r="A1" s="1" t="s">
        <v>153</v>
      </c>
      <c r="B1" s="1" t="s">
        <v>139</v>
      </c>
      <c r="C1" s="1" t="s">
        <v>154</v>
      </c>
      <c r="D1" s="1" t="s">
        <v>155</v>
      </c>
      <c r="E1" s="1" t="s">
        <v>156</v>
      </c>
      <c r="F1" s="1" t="s">
        <v>22</v>
      </c>
      <c r="G1" s="1" t="s">
        <v>157</v>
      </c>
    </row>
    <row r="2" spans="1:7">
      <c r="A2" t="s">
        <v>158</v>
      </c>
      <c r="B2" t="s">
        <v>145</v>
      </c>
      <c r="C2" t="b">
        <v>1</v>
      </c>
      <c r="D2" t="b">
        <v>1</v>
      </c>
      <c r="E2" t="b">
        <v>1</v>
      </c>
      <c r="F2" t="s">
        <v>159</v>
      </c>
    </row>
    <row r="3" spans="1:7">
      <c r="A3" t="s">
        <v>160</v>
      </c>
      <c r="B3" t="s">
        <v>148</v>
      </c>
      <c r="C3" t="b">
        <v>0</v>
      </c>
      <c r="D3" t="b">
        <v>0</v>
      </c>
      <c r="E3" t="b">
        <v>1</v>
      </c>
      <c r="F3" t="s">
        <v>159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>
  <dimension ref="A1:B11"/>
  <sheetViews>
    <sheetView tabSelected="1" workbookViewId="0"/>
  </sheetViews>
  <sheetFormatPr defaultRowHeight="15"/>
  <cols>
    <col min="1" max="1" width="21.85546875" bestFit="1" customWidth="1"/>
    <col min="2" max="2" width="36.5703125" bestFit="1" customWidth="1"/>
  </cols>
  <sheetData>
    <row r="1" spans="1:2">
      <c r="A1" s="1" t="s">
        <v>444</v>
      </c>
      <c r="B1" s="1" t="s">
        <v>445</v>
      </c>
    </row>
    <row r="2" spans="1:2">
      <c r="A2" t="s">
        <v>446</v>
      </c>
      <c r="B2" t="str">
        <f>Dashboard!B7</f>
        <v>BO002</v>
      </c>
    </row>
    <row r="3" spans="1:2">
      <c r="A3" t="s">
        <v>447</v>
      </c>
      <c r="B3" t="str">
        <f>IFERROR(VLOOKUP(B11,BusinessTemplates!A:H,2,FALSE),"Not found")</f>
        <v>Real Estate</v>
      </c>
    </row>
    <row r="4" spans="1:2">
      <c r="A4" t="s">
        <v>448</v>
      </c>
      <c r="B4" t="str">
        <f>Dashboard!B11</f>
        <v>Property Agent</v>
      </c>
    </row>
    <row r="5" spans="1:2">
      <c r="A5" t="s">
        <v>449</v>
      </c>
      <c r="B5" t="str">
        <f>Dashboard!B12</f>
        <v>facebook</v>
      </c>
    </row>
    <row r="6" spans="1:2">
      <c r="A6" t="s">
        <v>450</v>
      </c>
      <c r="B6" t="str">
        <f>Dashboard!B13</f>
        <v>generate_leads</v>
      </c>
    </row>
    <row r="7" spans="1:2">
      <c r="A7" t="s">
        <v>451</v>
      </c>
      <c r="B7" t="str">
        <f>Dashboard!B15</f>
        <v>Affordable homes available in Pretoria.</v>
      </c>
    </row>
    <row r="8" spans="1:2">
      <c r="A8" t="s">
        <v>452</v>
      </c>
      <c r="B8" t="str">
        <f>IFERROR(VLOOKUP(B2,BusinessOwners!A:F,4,FALSE),"Not found")</f>
        <v>Midrand</v>
      </c>
    </row>
    <row r="9" spans="1:2">
      <c r="A9" t="s">
        <v>453</v>
      </c>
      <c r="B9" t="s">
        <v>456</v>
      </c>
    </row>
    <row r="10" spans="1:2">
      <c r="A10" t="s">
        <v>454</v>
      </c>
      <c r="B10" t="str">
        <f>Dashboard!B14</f>
        <v>professional</v>
      </c>
    </row>
    <row r="11" spans="1:2">
      <c r="A11" t="s">
        <v>455</v>
      </c>
      <c r="B11" t="str">
        <f>Dashboard!B10</f>
        <v>real_estate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9"/>
  <dimension ref="A1:G3"/>
  <sheetViews>
    <sheetView workbookViewId="0"/>
  </sheetViews>
  <sheetFormatPr defaultRowHeight="15"/>
  <cols>
    <col min="1" max="1" width="8.28515625" bestFit="1" customWidth="1"/>
    <col min="2" max="2" width="19.5703125" bestFit="1" customWidth="1"/>
    <col min="3" max="3" width="14.140625" bestFit="1" customWidth="1"/>
    <col min="4" max="4" width="18.28515625" bestFit="1" customWidth="1"/>
    <col min="5" max="5" width="16.85546875" bestFit="1" customWidth="1"/>
    <col min="6" max="6" width="24.42578125" bestFit="1" customWidth="1"/>
    <col min="7" max="7" width="9.42578125" bestFit="1" customWidth="1"/>
  </cols>
  <sheetData>
    <row r="1" spans="1:7">
      <c r="A1" s="1" t="s">
        <v>139</v>
      </c>
      <c r="B1" s="1" t="s">
        <v>140</v>
      </c>
      <c r="C1" s="1" t="s">
        <v>141</v>
      </c>
      <c r="D1" s="1" t="s">
        <v>142</v>
      </c>
      <c r="E1" s="1" t="s">
        <v>143</v>
      </c>
      <c r="F1" s="1" t="s">
        <v>144</v>
      </c>
      <c r="G1" s="1" t="s">
        <v>22</v>
      </c>
    </row>
    <row r="2" spans="1:7">
      <c r="A2" t="s">
        <v>145</v>
      </c>
      <c r="B2" t="s">
        <v>146</v>
      </c>
      <c r="C2" t="s">
        <v>99</v>
      </c>
      <c r="D2" t="s">
        <v>109</v>
      </c>
      <c r="E2" t="b">
        <v>0</v>
      </c>
      <c r="F2" t="b">
        <v>0</v>
      </c>
      <c r="G2" t="s">
        <v>147</v>
      </c>
    </row>
    <row r="3" spans="1:7">
      <c r="A3" t="s">
        <v>148</v>
      </c>
      <c r="B3" t="s">
        <v>149</v>
      </c>
      <c r="C3" t="s">
        <v>99</v>
      </c>
      <c r="D3" t="s">
        <v>113</v>
      </c>
      <c r="E3" t="b">
        <v>1</v>
      </c>
      <c r="F3" t="b">
        <v>1</v>
      </c>
      <c r="G3" t="s">
        <v>150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0"/>
  <dimension ref="A1:M3"/>
  <sheetViews>
    <sheetView workbookViewId="0"/>
  </sheetViews>
  <sheetFormatPr defaultRowHeight="15"/>
  <cols>
    <col min="1" max="1" width="8.5703125" bestFit="1" customWidth="1"/>
    <col min="2" max="2" width="16.7109375" bestFit="1" customWidth="1"/>
    <col min="3" max="3" width="8.28515625" bestFit="1" customWidth="1"/>
    <col min="4" max="4" width="19.85546875" bestFit="1" customWidth="1"/>
    <col min="5" max="5" width="12.140625" bestFit="1" customWidth="1"/>
    <col min="6" max="6" width="18.28515625" bestFit="1" customWidth="1"/>
    <col min="7" max="7" width="10" bestFit="1" customWidth="1"/>
    <col min="8" max="8" width="15.85546875" bestFit="1" customWidth="1"/>
    <col min="9" max="10" width="21" bestFit="1" customWidth="1"/>
    <col min="11" max="11" width="42.5703125" bestFit="1" customWidth="1"/>
    <col min="12" max="12" width="14.5703125" bestFit="1" customWidth="1"/>
    <col min="13" max="13" width="18.5703125" bestFit="1" customWidth="1"/>
  </cols>
  <sheetData>
    <row r="1" spans="1:13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95</v>
      </c>
      <c r="G1" s="1" t="s">
        <v>96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183</v>
      </c>
      <c r="M1" s="1" t="s">
        <v>184</v>
      </c>
    </row>
    <row r="2" spans="1:13">
      <c r="A2" t="s">
        <v>132</v>
      </c>
      <c r="B2" s="3">
        <v>46166</v>
      </c>
      <c r="C2" t="s">
        <v>133</v>
      </c>
      <c r="D2" t="s">
        <v>134</v>
      </c>
      <c r="E2" t="s">
        <v>99</v>
      </c>
      <c r="F2" t="s">
        <v>109</v>
      </c>
      <c r="G2" t="s">
        <v>105</v>
      </c>
      <c r="H2" t="s">
        <v>90</v>
      </c>
      <c r="K2" t="s">
        <v>135</v>
      </c>
    </row>
    <row r="3" spans="1:13">
      <c r="A3" t="s">
        <v>180</v>
      </c>
      <c r="B3" s="4">
        <v>46166.535092592596</v>
      </c>
      <c r="C3" t="s">
        <v>133</v>
      </c>
      <c r="D3" t="s">
        <v>181</v>
      </c>
      <c r="E3" t="s">
        <v>99</v>
      </c>
      <c r="F3" t="s">
        <v>99</v>
      </c>
      <c r="G3" t="s">
        <v>100</v>
      </c>
      <c r="H3" t="s">
        <v>90</v>
      </c>
      <c r="I3" t="s">
        <v>26</v>
      </c>
      <c r="K3" t="s">
        <v>182</v>
      </c>
      <c r="M3" t="s">
        <v>185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1"/>
  <dimension ref="A1:E6"/>
  <sheetViews>
    <sheetView workbookViewId="0"/>
  </sheetViews>
  <sheetFormatPr defaultRowHeight="15"/>
  <cols>
    <col min="1" max="1" width="8" bestFit="1" customWidth="1"/>
    <col min="2" max="2" width="10.42578125" bestFit="1" customWidth="1"/>
    <col min="3" max="3" width="18.28515625" bestFit="1" customWidth="1"/>
    <col min="4" max="4" width="10" bestFit="1" customWidth="1"/>
    <col min="5" max="5" width="18.28515625" bestFit="1" customWidth="1"/>
  </cols>
  <sheetData>
    <row r="1" spans="1:5">
      <c r="A1" s="1" t="s">
        <v>93</v>
      </c>
      <c r="B1" s="1" t="s">
        <v>94</v>
      </c>
      <c r="C1" s="1" t="s">
        <v>95</v>
      </c>
      <c r="D1" s="1" t="s">
        <v>96</v>
      </c>
      <c r="E1" s="1" t="s">
        <v>97</v>
      </c>
    </row>
    <row r="2" spans="1:5">
      <c r="A2" t="s">
        <v>98</v>
      </c>
      <c r="B2" t="s">
        <v>99</v>
      </c>
      <c r="C2" t="s">
        <v>99</v>
      </c>
      <c r="D2" t="s">
        <v>100</v>
      </c>
      <c r="E2" t="s">
        <v>101</v>
      </c>
    </row>
    <row r="3" spans="1:5">
      <c r="A3" t="s">
        <v>102</v>
      </c>
      <c r="B3" t="s">
        <v>103</v>
      </c>
      <c r="C3" t="s">
        <v>104</v>
      </c>
      <c r="D3" t="s">
        <v>105</v>
      </c>
      <c r="E3" t="s">
        <v>106</v>
      </c>
    </row>
    <row r="4" spans="1:5">
      <c r="A4" t="s">
        <v>107</v>
      </c>
      <c r="B4" t="s">
        <v>108</v>
      </c>
      <c r="C4" t="s">
        <v>109</v>
      </c>
      <c r="D4" t="s">
        <v>105</v>
      </c>
      <c r="E4" t="s">
        <v>110</v>
      </c>
    </row>
    <row r="5" spans="1:5">
      <c r="A5" t="s">
        <v>111</v>
      </c>
      <c r="B5" t="s">
        <v>112</v>
      </c>
      <c r="C5" t="s">
        <v>113</v>
      </c>
      <c r="D5" t="s">
        <v>105</v>
      </c>
      <c r="E5" t="s">
        <v>114</v>
      </c>
    </row>
    <row r="6" spans="1:5">
      <c r="A6" t="s">
        <v>115</v>
      </c>
      <c r="B6" t="s">
        <v>116</v>
      </c>
      <c r="C6" t="s">
        <v>117</v>
      </c>
      <c r="D6" t="s">
        <v>105</v>
      </c>
      <c r="E6" t="s">
        <v>118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>
      <selection activeCell="A4" sqref="A4"/>
    </sheetView>
  </sheetViews>
  <sheetFormatPr defaultRowHeight="15"/>
  <cols>
    <col min="1" max="1" width="24.85546875" bestFit="1" customWidth="1"/>
    <col min="2" max="2" width="51.42578125" bestFit="1" customWidth="1"/>
    <col min="3" max="3" width="48.28515625" bestFit="1" customWidth="1"/>
  </cols>
  <sheetData>
    <row r="1" spans="1:3">
      <c r="A1" s="1" t="s">
        <v>10</v>
      </c>
      <c r="B1" s="1" t="s">
        <v>11</v>
      </c>
      <c r="C1" s="1" t="s">
        <v>420</v>
      </c>
    </row>
    <row r="2" spans="1:3">
      <c r="A2" t="s">
        <v>12</v>
      </c>
      <c r="B2" t="s">
        <v>13</v>
      </c>
      <c r="C2" t="s">
        <v>421</v>
      </c>
    </row>
    <row r="3" spans="1:3">
      <c r="A3" t="s">
        <v>434</v>
      </c>
      <c r="B3" t="s">
        <v>422</v>
      </c>
      <c r="C3" t="s">
        <v>435</v>
      </c>
    </row>
    <row r="4" spans="1:3">
      <c r="A4" t="s">
        <v>423</v>
      </c>
      <c r="B4" t="s">
        <v>436</v>
      </c>
      <c r="C4" t="s">
        <v>437</v>
      </c>
    </row>
    <row r="5" spans="1:3">
      <c r="A5" t="s">
        <v>438</v>
      </c>
      <c r="B5" t="s">
        <v>424</v>
      </c>
      <c r="C5" t="s">
        <v>439</v>
      </c>
    </row>
    <row r="6" spans="1:3">
      <c r="A6" t="s">
        <v>425</v>
      </c>
      <c r="B6">
        <v>30</v>
      </c>
      <c r="C6" t="s">
        <v>426</v>
      </c>
    </row>
    <row r="7" spans="1:3">
      <c r="A7" t="s">
        <v>427</v>
      </c>
      <c r="B7" t="s">
        <v>428</v>
      </c>
      <c r="C7" t="s">
        <v>429</v>
      </c>
    </row>
    <row r="8" spans="1:3">
      <c r="A8" t="s">
        <v>440</v>
      </c>
      <c r="C8" t="s">
        <v>441</v>
      </c>
    </row>
    <row r="9" spans="1:3">
      <c r="A9" t="s">
        <v>442</v>
      </c>
      <c r="C9" t="s">
        <v>443</v>
      </c>
    </row>
    <row r="10" spans="1:3">
      <c r="A10" t="s">
        <v>430</v>
      </c>
      <c r="B10" t="s">
        <v>431</v>
      </c>
      <c r="C10" t="s">
        <v>432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StewardReviewQueue</vt:lpstr>
      <vt:lpstr>StewardDecisionLog</vt:lpstr>
      <vt:lpstr>StewardAlerts</vt:lpstr>
      <vt:lpstr>StewardConsole</vt:lpstr>
      <vt:lpstr>ReplayLinkResolution</vt:lpstr>
      <vt:lpstr>CMD002SessionOpenRule</vt:lpstr>
      <vt:lpstr>CMD002OutcomeRegistry</vt:lpstr>
      <vt:lpstr>CMD002FailureRegistry</vt:lpstr>
      <vt:lpstr>CMD002AtomicityRule</vt:lpstr>
      <vt:lpstr>DraftReplayEventSchema</vt:lpstr>
      <vt:lpstr>DraftContentPostSchema</vt:lpstr>
      <vt:lpstr>ReplayMutationContract</vt:lpstr>
      <vt:lpstr>DraftMutationBoundary</vt:lpstr>
      <vt:lpstr>CMD002ReadinessChecklist</vt:lpstr>
      <vt:lpstr>ExecutionSessions</vt:lpstr>
      <vt:lpstr>Dashboard</vt:lpstr>
      <vt:lpstr>BusinessTemplates</vt:lpstr>
      <vt:lpstr>BusinessOwners</vt:lpstr>
      <vt:lpstr>ContentPosts</vt:lpstr>
      <vt:lpstr>ReplayEvents</vt:lpstr>
      <vt:lpstr>MacroCommandRegistry</vt:lpstr>
      <vt:lpstr>ExecutionReadiness</vt:lpstr>
      <vt:lpstr>PayloadPreview</vt:lpstr>
      <vt:lpstr>ActionIntents</vt:lpstr>
      <vt:lpstr>AdminActions</vt:lpstr>
      <vt:lpstr>SystemNavigation</vt:lpstr>
      <vt:lpstr>Settings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IMBALLY</dc:creator>
  <cp:lastModifiedBy>CodexSandboxOffline</cp:lastModifiedBy>
  <dcterms:created xsi:type="dcterms:W3CDTF">2026-05-24T08:03:15Z</dcterms:created>
  <dcterms:modified xsi:type="dcterms:W3CDTF">2026-05-24T13:05:57Z</dcterms:modified>
</cp:coreProperties>
</file>